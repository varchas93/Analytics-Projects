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kruthi\Desktop\V project\Recruitment funnel analytics\"/>
    </mc:Choice>
  </mc:AlternateContent>
  <xr:revisionPtr revIDLastSave="0" documentId="13_ncr:1_{8612A6D7-D60B-4842-A862-9F4E49CC90E5}" xr6:coauthVersionLast="47" xr6:coauthVersionMax="47" xr10:uidLastSave="{00000000-0000-0000-0000-000000000000}"/>
  <bookViews>
    <workbookView xWindow="-120" yWindow="-120" windowWidth="20730" windowHeight="11040" xr2:uid="{630B4026-2A48-4D82-8DC8-09D555188CE4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</sheets>
  <definedNames>
    <definedName name="_xlnm._FilterDatabase" localSheetId="0" hidden="1">Sheet2!$A$1:$S$51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<sst xmlns="http://schemas.openxmlformats.org/spreadsheetml/2006/main" count="346" uniqueCount="148">
  <si>
    <t>Requisition_ID</t>
  </si>
  <si>
    <t>REQ_001</t>
  </si>
  <si>
    <t>Role</t>
  </si>
  <si>
    <t>Data Analyst</t>
  </si>
  <si>
    <t>Department</t>
  </si>
  <si>
    <t>Analytics</t>
  </si>
  <si>
    <t>Recruiter</t>
  </si>
  <si>
    <t>Recruiter A</t>
  </si>
  <si>
    <t>Source</t>
  </si>
  <si>
    <t>LinkedIn</t>
  </si>
  <si>
    <t>JD_Posted_Date</t>
  </si>
  <si>
    <t>Applications_Received</t>
  </si>
  <si>
    <t>Shortlisted</t>
  </si>
  <si>
    <t>Interviewed</t>
  </si>
  <si>
    <t>Offered</t>
  </si>
  <si>
    <t>Joined</t>
  </si>
  <si>
    <t>Offer_Accepted_Date</t>
  </si>
  <si>
    <t>Joining_Date</t>
  </si>
  <si>
    <t>REQ_002</t>
  </si>
  <si>
    <t>Business Analyst</t>
  </si>
  <si>
    <t>Recruiter B</t>
  </si>
  <si>
    <t>Naukri</t>
  </si>
  <si>
    <t>REQ_003</t>
  </si>
  <si>
    <t>HR Executive</t>
  </si>
  <si>
    <t>HR</t>
  </si>
  <si>
    <t>Recruiter C</t>
  </si>
  <si>
    <t>REQ_004</t>
  </si>
  <si>
    <t>HR Intern</t>
  </si>
  <si>
    <t>Campus</t>
  </si>
  <si>
    <t>REQ_005</t>
  </si>
  <si>
    <t>Sales Executive</t>
  </si>
  <si>
    <t>Sales</t>
  </si>
  <si>
    <t>Recruiter D</t>
  </si>
  <si>
    <t>REQ_006</t>
  </si>
  <si>
    <t>Sales Manager</t>
  </si>
  <si>
    <t>Referral</t>
  </si>
  <si>
    <t>REQ_007</t>
  </si>
  <si>
    <t>Marketing Executive</t>
  </si>
  <si>
    <t>Marketing</t>
  </si>
  <si>
    <t>REQ_008</t>
  </si>
  <si>
    <t>Digital Marketer</t>
  </si>
  <si>
    <t>REQ_009</t>
  </si>
  <si>
    <t>Finance Analyst</t>
  </si>
  <si>
    <t>Finance</t>
  </si>
  <si>
    <t>REQ_010</t>
  </si>
  <si>
    <t>Accounts Executive</t>
  </si>
  <si>
    <t>REQ_011</t>
  </si>
  <si>
    <t>Software Engineer</t>
  </si>
  <si>
    <t>IT</t>
  </si>
  <si>
    <t>REQ_012</t>
  </si>
  <si>
    <t>Backend Developer</t>
  </si>
  <si>
    <t>REQ_013</t>
  </si>
  <si>
    <t>Frontend Developer</t>
  </si>
  <si>
    <t>REQ_014</t>
  </si>
  <si>
    <t>QA Engineer</t>
  </si>
  <si>
    <t>REQ_015</t>
  </si>
  <si>
    <t>Operations Executive</t>
  </si>
  <si>
    <t>Operations</t>
  </si>
  <si>
    <t>REQ_016</t>
  </si>
  <si>
    <t>Operations Manager</t>
  </si>
  <si>
    <t>REQ_017</t>
  </si>
  <si>
    <t>Supply Chain Analyst</t>
  </si>
  <si>
    <t>SCM</t>
  </si>
  <si>
    <t>REQ_018</t>
  </si>
  <si>
    <t>Procurement Executive</t>
  </si>
  <si>
    <t>REQ_019</t>
  </si>
  <si>
    <t>Customer Support Exec</t>
  </si>
  <si>
    <t>Support</t>
  </si>
  <si>
    <t>Walk-in</t>
  </si>
  <si>
    <t>REQ_020</t>
  </si>
  <si>
    <t>Support Team Lead</t>
  </si>
  <si>
    <t>REQ_021</t>
  </si>
  <si>
    <t>Data Engineer</t>
  </si>
  <si>
    <t>REQ_022</t>
  </si>
  <si>
    <t>MIS Executive</t>
  </si>
  <si>
    <t>REQ_023</t>
  </si>
  <si>
    <t>Talent Acquisition Exec</t>
  </si>
  <si>
    <t>REQ_024</t>
  </si>
  <si>
    <t>Payroll Executive</t>
  </si>
  <si>
    <t>REQ_025</t>
  </si>
  <si>
    <t>Admin Executive</t>
  </si>
  <si>
    <t>Admin</t>
  </si>
  <si>
    <t>REQ_026</t>
  </si>
  <si>
    <t>Data Scientist</t>
  </si>
  <si>
    <t>REQ_027</t>
  </si>
  <si>
    <t>Junior Data Analyst</t>
  </si>
  <si>
    <t>REQ_028</t>
  </si>
  <si>
    <t>HR Business Partner</t>
  </si>
  <si>
    <t>REQ_029</t>
  </si>
  <si>
    <t>HR Operations Exec</t>
  </si>
  <si>
    <t>REQ_030</t>
  </si>
  <si>
    <t>Sales Intern</t>
  </si>
  <si>
    <t>REQ_031</t>
  </si>
  <si>
    <t>Key Account Manager</t>
  </si>
  <si>
    <t>REQ_032</t>
  </si>
  <si>
    <t>Growth Marketer</t>
  </si>
  <si>
    <t>REQ_033</t>
  </si>
  <si>
    <t>Content Strategist</t>
  </si>
  <si>
    <t>REQ_034</t>
  </si>
  <si>
    <t>Financial Controller</t>
  </si>
  <si>
    <t>REQ_035</t>
  </si>
  <si>
    <t>Cost Analyst</t>
  </si>
  <si>
    <t>REQ_036</t>
  </si>
  <si>
    <t>DevOps Engineer</t>
  </si>
  <si>
    <t>REQ_037</t>
  </si>
  <si>
    <t>Cloud Engineer</t>
  </si>
  <si>
    <t>REQ_038</t>
  </si>
  <si>
    <t>UI/UX Designer</t>
  </si>
  <si>
    <t>REQ_039</t>
  </si>
  <si>
    <t>IT Support Engineer</t>
  </si>
  <si>
    <t>REQ_040</t>
  </si>
  <si>
    <t>Plant Operations Exec</t>
  </si>
  <si>
    <t>REQ_041</t>
  </si>
  <si>
    <t>Operations Analyst</t>
  </si>
  <si>
    <t>REQ_042</t>
  </si>
  <si>
    <t>Logistics Coordinator</t>
  </si>
  <si>
    <t>REQ_043</t>
  </si>
  <si>
    <t>Warehouse Supervisor</t>
  </si>
  <si>
    <t>REQ_044</t>
  </si>
  <si>
    <t>Customer Success Manager</t>
  </si>
  <si>
    <t>REQ_045</t>
  </si>
  <si>
    <t>Call Center Lead</t>
  </si>
  <si>
    <t>REQ_046</t>
  </si>
  <si>
    <t>Compliance Officer</t>
  </si>
  <si>
    <t>REQ_047</t>
  </si>
  <si>
    <t>Office Coordinator</t>
  </si>
  <si>
    <t>REQ_048</t>
  </si>
  <si>
    <t>Executive Assistant</t>
  </si>
  <si>
    <t>REQ_049</t>
  </si>
  <si>
    <t>Business Operations Analyst</t>
  </si>
  <si>
    <t>REQ_050</t>
  </si>
  <si>
    <t>Strategy Analyst</t>
  </si>
  <si>
    <t>Time_to_Hire_Days</t>
  </si>
  <si>
    <t>Offer_to_Join_Days</t>
  </si>
  <si>
    <t>App_to_Shortlist_%</t>
  </si>
  <si>
    <t>Shortlist_to_Interview_%</t>
  </si>
  <si>
    <t>Interview_to_Offer_%</t>
  </si>
  <si>
    <t>Offer_to_Join_%</t>
  </si>
  <si>
    <t>Sum of Applications_Received</t>
  </si>
  <si>
    <t>Sum of Shortlisted</t>
  </si>
  <si>
    <t>Sum of Interviewed</t>
  </si>
  <si>
    <t>Sum of Offered</t>
  </si>
  <si>
    <t>Sum of Joined</t>
  </si>
  <si>
    <t>Row Labels</t>
  </si>
  <si>
    <t>Grand Total</t>
  </si>
  <si>
    <t>Average of Time_to_Hire_Days</t>
  </si>
  <si>
    <t>Average of Offer_to_Join_%</t>
  </si>
  <si>
    <t>Count of Requisition_ID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</si>
</sst>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[Recruitment_Funnel_Analytics.xlsx]Sheet3!PivotTable1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345638246832053E-2"/>
          <c:y val="0.15449819745294485"/>
          <c:w val="0.54312194846611916"/>
          <c:h val="0.719959557584484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Sheet3!$A$3</c:f>
              <c:strCache>
                <c:ptCount val="1"/>
                <c:pt idx="0">
                  <c:v>Sum of Applications_Received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Sheet3!$A$4</c:f>
              <c:numCache>
                <c:formatCode>General</c:formatCode>
                <c:ptCount val="1"/>
                <c:pt idx="0">
                  <c:v>5730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D-49C3-9A1E-82BB42465036}"/>
            </c:ext>
          </c:extLst>
        </c:ser>
        <c:ser>
          <c:idx val="1"/>
          <c:order val="1"/>
          <c:tx>
            <c:strRef>
              <c:f>Sheet3!$B$3</c:f>
              <c:strCache>
                <c:ptCount val="1"/>
                <c:pt idx="0">
                  <c:v>Sum of Shortlisted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Sheet3!$B$4</c:f>
              <c:numCache>
                <c:formatCode>General</c:formatCode>
                <c:ptCount val="1"/>
                <c:pt idx="0">
                  <c:v>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D-49C3-9A1E-82BB42465036}"/>
            </c:ext>
          </c:extLst>
        </c:ser>
        <c:ser>
          <c:idx val="2"/>
          <c:order val="2"/>
          <c:tx>
            <c:strRef>
              <c:f>Sheet3!$C$3</c:f>
              <c:strCache>
                <c:ptCount val="1"/>
                <c:pt idx="0">
                  <c:v>Sum of Interviewed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Sheet3!$C$4</c:f>
              <c:numCache>
                <c:formatCode>General</c:formatCode>
                <c:ptCount val="1"/>
                <c:pt idx="0">
                  <c:v>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D-49C3-9A1E-82BB42465036}"/>
            </c:ext>
          </c:extLst>
        </c:ser>
        <c:ser>
          <c:idx val="3"/>
          <c:order val="3"/>
          <c:tx>
            <c:strRef>
              <c:f>Sheet3!$D$3</c:f>
              <c:strCache>
                <c:ptCount val="1"/>
                <c:pt idx="0">
                  <c:v>Sum of Offered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Sheet3!$D$4</c:f>
              <c:numCache>
                <c:formatCode>General</c:formatCode>
                <c:ptCount val="1"/>
                <c:pt idx="0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6D-49C3-9A1E-82BB42465036}"/>
            </c:ext>
          </c:extLst>
        </c:ser>
        <c:ser>
          <c:idx val="4"/>
          <c:order val="4"/>
          <c:tx>
            <c:strRef>
              <c:f>Sheet3!$E$3</c:f>
              <c:strCache>
                <c:ptCount val="1"/>
                <c:pt idx="0">
                  <c:v>Sum of Joined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Sheet3!$E$4</c:f>
              <c:numCache>
                <c:formatCode>General</c:formatCode>
                <c:ptCount val="1"/>
                <c:pt idx="0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6D-49C3-9A1E-82BB42465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9883376"/>
        <c:axId val="1079882896"/>
      </c:barChart>
      <c:catAx>
        <c:axId val="107988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882896"/>
        <c:crosses val="autoZero"/>
        <c:auto val="1"/>
        <c:lblAlgn val="ctr"/>
        <c:lblOffset val="100"/>
        <c:noMultiLvlLbl val="0"/>
      </c:catAx>
      <c:valAx>
        <c:axId val="107988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88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[Recruitment_Funnel_Analytics.xlsx]Sheet4!PivotTable2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Sheet4!$A$4:$A$54</c:f>
              <c:strCache>
                <c:ptCount val="50"/>
                <c:pt idx="0">
                  <c:v>Warehouse Supervisor</c:v>
                </c:pt>
                <c:pt idx="1">
                  <c:v>UI/UX Designer</c:v>
                </c:pt>
                <c:pt idx="2">
                  <c:v>Talent Acquisition Exec</c:v>
                </c:pt>
                <c:pt idx="3">
                  <c:v>Support Team Lead</c:v>
                </c:pt>
                <c:pt idx="4">
                  <c:v>Supply Chain Analyst</c:v>
                </c:pt>
                <c:pt idx="5">
                  <c:v>Strategy Analyst</c:v>
                </c:pt>
                <c:pt idx="6">
                  <c:v>Software Engineer</c:v>
                </c:pt>
                <c:pt idx="7">
                  <c:v>Sales Manager</c:v>
                </c:pt>
                <c:pt idx="8">
                  <c:v>Sales Intern</c:v>
                </c:pt>
                <c:pt idx="9">
                  <c:v>Sales Executive</c:v>
                </c:pt>
                <c:pt idx="10">
                  <c:v>QA Engineer</c:v>
                </c:pt>
                <c:pt idx="11">
                  <c:v>Procurement Executive</c:v>
                </c:pt>
                <c:pt idx="12">
                  <c:v>Plant Operations Exec</c:v>
                </c:pt>
                <c:pt idx="13">
                  <c:v>Payroll Executive</c:v>
                </c:pt>
                <c:pt idx="14">
                  <c:v>Operations Manager</c:v>
                </c:pt>
                <c:pt idx="15">
                  <c:v>Operations Executive</c:v>
                </c:pt>
                <c:pt idx="16">
                  <c:v>Operations Analyst</c:v>
                </c:pt>
                <c:pt idx="17">
                  <c:v>Office Coordinator</c:v>
                </c:pt>
                <c:pt idx="18">
                  <c:v>MIS Executive</c:v>
                </c:pt>
                <c:pt idx="19">
                  <c:v>Marketing Executive</c:v>
                </c:pt>
                <c:pt idx="20">
                  <c:v>Logistics Coordinator</c:v>
                </c:pt>
                <c:pt idx="21">
                  <c:v>Key Account Manager</c:v>
                </c:pt>
                <c:pt idx="22">
                  <c:v>Junior Data Analyst</c:v>
                </c:pt>
                <c:pt idx="23">
                  <c:v>IT Support Engineer</c:v>
                </c:pt>
                <c:pt idx="24">
                  <c:v>HR Operations Exec</c:v>
                </c:pt>
                <c:pt idx="25">
                  <c:v>HR Intern</c:v>
                </c:pt>
                <c:pt idx="26">
                  <c:v>HR Executive</c:v>
                </c:pt>
                <c:pt idx="27">
                  <c:v>HR Business Partner</c:v>
                </c:pt>
                <c:pt idx="28">
                  <c:v>Growth Marketer</c:v>
                </c:pt>
                <c:pt idx="29">
                  <c:v>Frontend Developer</c:v>
                </c:pt>
                <c:pt idx="30">
                  <c:v>Financial Controller</c:v>
                </c:pt>
                <c:pt idx="31">
                  <c:v>Finance Analyst</c:v>
                </c:pt>
                <c:pt idx="32">
                  <c:v>Executive Assistant</c:v>
                </c:pt>
                <c:pt idx="33">
                  <c:v>Digital Marketer</c:v>
                </c:pt>
                <c:pt idx="34">
                  <c:v>DevOps Engineer</c:v>
                </c:pt>
                <c:pt idx="35">
                  <c:v>Data Scientist</c:v>
                </c:pt>
                <c:pt idx="36">
                  <c:v>Data Engineer</c:v>
                </c:pt>
                <c:pt idx="37">
                  <c:v>Data Analyst</c:v>
                </c:pt>
                <c:pt idx="38">
                  <c:v>Customer Support Exec</c:v>
                </c:pt>
                <c:pt idx="39">
                  <c:v>Customer Success Manager</c:v>
                </c:pt>
                <c:pt idx="40">
                  <c:v>Cost Analyst</c:v>
                </c:pt>
                <c:pt idx="41">
                  <c:v>Content Strategist</c:v>
                </c:pt>
                <c:pt idx="42">
                  <c:v>Compliance Officer</c:v>
                </c:pt>
                <c:pt idx="43">
                  <c:v>Cloud Engineer</c:v>
                </c:pt>
                <c:pt idx="44">
                  <c:v>Call Center Lead</c:v>
                </c:pt>
                <c:pt idx="45">
                  <c:v>Business Operations Analyst</c:v>
                </c:pt>
                <c:pt idx="46">
                  <c:v>Business Analyst</c:v>
                </c:pt>
                <c:pt idx="47">
                  <c:v>Backend Developer</c:v>
                </c:pt>
                <c:pt idx="48">
                  <c:v>Admin Executive</c:v>
                </c:pt>
                <c:pt idx="49">
                  <c:v>Accounts Executive</c:v>
                </c:pt>
              </c:strCache>
            </c:strRef>
          </c:cat>
          <c:val>
            <c:numRef>
              <c:f>Sheet4!$B$4:$B$54</c:f>
              <c:numCache>
                <c:formatCode>General</c:formatCode>
                <c:ptCount val="50"/>
                <c:pt idx="0">
                  <c:v>107</c:v>
                </c:pt>
                <c:pt idx="1">
                  <c:v>5</c:v>
                </c:pt>
                <c:pt idx="2">
                  <c:v>66</c:v>
                </c:pt>
                <c:pt idx="3">
                  <c:v>27</c:v>
                </c:pt>
                <c:pt idx="4">
                  <c:v>110</c:v>
                </c:pt>
                <c:pt idx="5">
                  <c:v>104</c:v>
                </c:pt>
                <c:pt idx="6">
                  <c:v>51</c:v>
                </c:pt>
                <c:pt idx="7">
                  <c:v>55</c:v>
                </c:pt>
                <c:pt idx="8">
                  <c:v>33</c:v>
                </c:pt>
                <c:pt idx="9">
                  <c:v>108</c:v>
                </c:pt>
                <c:pt idx="10">
                  <c:v>117</c:v>
                </c:pt>
                <c:pt idx="11">
                  <c:v>71</c:v>
                </c:pt>
                <c:pt idx="12">
                  <c:v>58</c:v>
                </c:pt>
                <c:pt idx="13">
                  <c:v>73</c:v>
                </c:pt>
                <c:pt idx="14">
                  <c:v>97</c:v>
                </c:pt>
                <c:pt idx="15">
                  <c:v>89</c:v>
                </c:pt>
                <c:pt idx="16">
                  <c:v>21</c:v>
                </c:pt>
                <c:pt idx="17">
                  <c:v>62</c:v>
                </c:pt>
                <c:pt idx="18">
                  <c:v>83</c:v>
                </c:pt>
                <c:pt idx="19">
                  <c:v>98</c:v>
                </c:pt>
                <c:pt idx="20">
                  <c:v>75</c:v>
                </c:pt>
                <c:pt idx="21">
                  <c:v>61</c:v>
                </c:pt>
                <c:pt idx="22">
                  <c:v>91</c:v>
                </c:pt>
                <c:pt idx="23">
                  <c:v>17</c:v>
                </c:pt>
                <c:pt idx="24">
                  <c:v>107</c:v>
                </c:pt>
                <c:pt idx="25">
                  <c:v>9</c:v>
                </c:pt>
                <c:pt idx="26">
                  <c:v>56</c:v>
                </c:pt>
                <c:pt idx="27">
                  <c:v>75</c:v>
                </c:pt>
                <c:pt idx="28">
                  <c:v>72</c:v>
                </c:pt>
                <c:pt idx="29">
                  <c:v>93</c:v>
                </c:pt>
                <c:pt idx="30">
                  <c:v>34</c:v>
                </c:pt>
                <c:pt idx="31">
                  <c:v>4</c:v>
                </c:pt>
                <c:pt idx="32">
                  <c:v>78</c:v>
                </c:pt>
                <c:pt idx="33">
                  <c:v>17</c:v>
                </c:pt>
                <c:pt idx="34">
                  <c:v>79</c:v>
                </c:pt>
                <c:pt idx="35">
                  <c:v>89</c:v>
                </c:pt>
                <c:pt idx="36">
                  <c:v>25</c:v>
                </c:pt>
                <c:pt idx="37">
                  <c:v>28</c:v>
                </c:pt>
                <c:pt idx="38">
                  <c:v>48</c:v>
                </c:pt>
                <c:pt idx="39">
                  <c:v>122</c:v>
                </c:pt>
                <c:pt idx="40">
                  <c:v>60</c:v>
                </c:pt>
                <c:pt idx="41">
                  <c:v>61</c:v>
                </c:pt>
                <c:pt idx="42">
                  <c:v>77</c:v>
                </c:pt>
                <c:pt idx="43">
                  <c:v>111</c:v>
                </c:pt>
                <c:pt idx="44">
                  <c:v>83</c:v>
                </c:pt>
                <c:pt idx="45">
                  <c:v>52</c:v>
                </c:pt>
                <c:pt idx="46">
                  <c:v>38</c:v>
                </c:pt>
                <c:pt idx="47">
                  <c:v>17</c:v>
                </c:pt>
                <c:pt idx="48">
                  <c:v>50</c:v>
                </c:pt>
                <c:pt idx="49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5-4F02-A7E4-126202EF2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2837024"/>
        <c:axId val="722836064"/>
      </c:barChart>
      <c:catAx>
        <c:axId val="72283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36064"/>
        <c:crosses val="autoZero"/>
        <c:auto val="1"/>
        <c:lblAlgn val="ctr"/>
        <c:lblOffset val="100"/>
        <c:noMultiLvlLbl val="0"/>
      </c:catAx>
      <c:valAx>
        <c:axId val="72283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3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[Recruitment_Funnel_Analytics.xlsx]Sheet5!PivotTable3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2741432485053"/>
          <c:y val="0.14698162729658792"/>
          <c:w val="0.36513723530729336"/>
          <c:h val="0.714403199600049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Applications_Received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Campus</c:v>
                </c:pt>
                <c:pt idx="1">
                  <c:v>LinkedIn</c:v>
                </c:pt>
                <c:pt idx="2">
                  <c:v>Naukri</c:v>
                </c:pt>
                <c:pt idx="3">
                  <c:v>Referral</c:v>
                </c:pt>
                <c:pt idx="4">
                  <c:v>Walk-in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630</c:v>
                </c:pt>
                <c:pt idx="1">
                  <c:v>2305</c:v>
                </c:pt>
                <c:pt idx="2">
                  <c:v>1070</c:v>
                </c:pt>
                <c:pt idx="3">
                  <c:v>795</c:v>
                </c:pt>
                <c:pt idx="4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7-4D35-B5CE-B1722FCA8BE7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Campus</c:v>
                </c:pt>
                <c:pt idx="1">
                  <c:v>LinkedIn</c:v>
                </c:pt>
                <c:pt idx="2">
                  <c:v>Naukri</c:v>
                </c:pt>
                <c:pt idx="3">
                  <c:v>Referral</c:v>
                </c:pt>
                <c:pt idx="4">
                  <c:v>Walk-in</c:v>
                </c:pt>
              </c:strCache>
            </c:strRef>
          </c:cat>
          <c:val>
            <c:numRef>
              <c:f>Sheet5!$C$4:$C$9</c:f>
              <c:numCache>
                <c:formatCode>General</c:formatCode>
                <c:ptCount val="5"/>
                <c:pt idx="0">
                  <c:v>27</c:v>
                </c:pt>
                <c:pt idx="1">
                  <c:v>70</c:v>
                </c:pt>
                <c:pt idx="2">
                  <c:v>35</c:v>
                </c:pt>
                <c:pt idx="3">
                  <c:v>57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7-4D35-B5CE-B1722FCA8BE7}"/>
            </c:ext>
          </c:extLst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Average of Offer_to_Join_%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Campus</c:v>
                </c:pt>
                <c:pt idx="1">
                  <c:v>LinkedIn</c:v>
                </c:pt>
                <c:pt idx="2">
                  <c:v>Naukri</c:v>
                </c:pt>
                <c:pt idx="3">
                  <c:v>Referral</c:v>
                </c:pt>
                <c:pt idx="4">
                  <c:v>Walk-in</c:v>
                </c:pt>
              </c:strCache>
            </c:strRef>
          </c:cat>
          <c:val>
            <c:numRef>
              <c:f>Sheet5!$D$4:$D$9</c:f>
              <c:numCache>
                <c:formatCode>0%</c:formatCode>
                <c:ptCount val="5"/>
                <c:pt idx="0">
                  <c:v>0.87407407407407411</c:v>
                </c:pt>
                <c:pt idx="1">
                  <c:v>0.76666666666666683</c:v>
                </c:pt>
                <c:pt idx="2">
                  <c:v>0.77962962962962956</c:v>
                </c:pt>
                <c:pt idx="3">
                  <c:v>0.81153846153846154</c:v>
                </c:pt>
                <c:pt idx="4">
                  <c:v>0.80365079365079362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E7-4D35-B5CE-B1722FCA8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6889568"/>
        <c:axId val="1076887648"/>
      </c:barChart>
      <c:catAx>
        <c:axId val="107688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87648"/>
        <c:crosses val="autoZero"/>
        <c:auto val="1"/>
        <c:lblAlgn val="ctr"/>
        <c:lblOffset val="100"/>
        <c:noMultiLvlLbl val="0"/>
      </c:catAx>
      <c:valAx>
        <c:axId val="107688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8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[Recruitment_Funnel_Analytics.xlsx]Sheet6!PivotTable4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Requisition_ID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Recruiter A</c:v>
                </c:pt>
                <c:pt idx="1">
                  <c:v>Recruiter B</c:v>
                </c:pt>
                <c:pt idx="2">
                  <c:v>Recruiter C</c:v>
                </c:pt>
                <c:pt idx="3">
                  <c:v>Recruiter D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14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7-4003-BE66-6BA44FD6C209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Average of Time_to_Hire_Days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Recruiter A</c:v>
                </c:pt>
                <c:pt idx="1">
                  <c:v>Recruiter B</c:v>
                </c:pt>
                <c:pt idx="2">
                  <c:v>Recruiter C</c:v>
                </c:pt>
                <c:pt idx="3">
                  <c:v>Recruiter D</c:v>
                </c:pt>
              </c:strCache>
            </c:strRef>
          </c:cat>
          <c:val>
            <c:numRef>
              <c:f>Sheet6!$C$4:$C$8</c:f>
              <c:numCache>
                <c:formatCode>General</c:formatCode>
                <c:ptCount val="4"/>
                <c:pt idx="0">
                  <c:v>47.857142857142854</c:v>
                </c:pt>
                <c:pt idx="1">
                  <c:v>73.666666666666671</c:v>
                </c:pt>
                <c:pt idx="2">
                  <c:v>75.583333333333329</c:v>
                </c:pt>
                <c:pt idx="3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7-4003-BE66-6BA44FD6C209}"/>
            </c:ext>
          </c:extLst>
        </c:ser>
        <c:ser>
          <c:idx val="2"/>
          <c:order val="2"/>
          <c:tx>
            <c:strRef>
              <c:f>Sheet6!$D$3</c:f>
              <c:strCache>
                <c:ptCount val="1"/>
                <c:pt idx="0">
                  <c:v>Sum of Joined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Recruiter A</c:v>
                </c:pt>
                <c:pt idx="1">
                  <c:v>Recruiter B</c:v>
                </c:pt>
                <c:pt idx="2">
                  <c:v>Recruiter C</c:v>
                </c:pt>
                <c:pt idx="3">
                  <c:v>Recruiter D</c:v>
                </c:pt>
              </c:strCache>
            </c:strRef>
          </c:cat>
          <c:val>
            <c:numRef>
              <c:f>Sheet6!$D$4:$D$8</c:f>
              <c:numCache>
                <c:formatCode>General</c:formatCode>
                <c:ptCount val="4"/>
                <c:pt idx="0">
                  <c:v>68</c:v>
                </c:pt>
                <c:pt idx="1">
                  <c:v>56</c:v>
                </c:pt>
                <c:pt idx="2">
                  <c:v>51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7-4003-BE66-6BA44FD6C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063040"/>
        <c:axId val="727057760"/>
      </c:barChart>
      <c:catAx>
        <c:axId val="7270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57760"/>
        <c:crosses val="autoZero"/>
        <c:auto val="1"/>
        <c:lblAlgn val="ctr"/>
        <c:lblOffset val="100"/>
        <c:noMultiLvlLbl val="0"/>
      </c:catAx>
      <c:valAx>
        <c:axId val="7270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6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57150</xdr:rowOff>
    </xdr:from>
    <xdr:to>
      <xdr:col>3</xdr:col>
      <xdr:colOff>123825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8B557-7AC5-1B31-4C93-C8B33EB28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152400</xdr:rowOff>
    </xdr:from>
    <xdr:to>
      <xdr:col>9</xdr:col>
      <xdr:colOff>400050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72C89-5E74-74FA-75F7-AD73001F7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466724</xdr:colOff>
      <xdr:row>5</xdr:row>
      <xdr:rowOff>66675</xdr:rowOff>
    </xdr:from>
    <xdr:to>
      <xdr:col>7</xdr:col>
      <xdr:colOff>333374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457D8-BC38-0CF0-61CE-218C33D27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133350</xdr:rowOff>
    </xdr:from>
    <xdr:to>
      <xdr:col>3</xdr:col>
      <xdr:colOff>285750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91DCD-F46F-3FFB-4E72-84063693C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skruthi" refreshedDate="46017.94668645833" createdVersion="8" refreshedVersion="8" minRefreshableVersion="3" recordCount="50" xr:uid="{564F3BFE-4E19-4184-BB88-DA154DB64CF0}">
  <cacheSource type="worksheet">
    <worksheetSource name="Table1"/>
  </cacheSource>
  <cacheFields count="19">
    <cacheField name="Requisition_ID" numFmtId="0">
      <sharedItems count="50">
        <s v="REQ_001"/>
        <s v="REQ_002"/>
        <s v="REQ_003"/>
        <s v="REQ_004"/>
        <s v="REQ_005"/>
        <s v="REQ_006"/>
        <s v="REQ_007"/>
        <s v="REQ_008"/>
        <s v="REQ_009"/>
        <s v="REQ_010"/>
        <s v="REQ_011"/>
        <s v="REQ_012"/>
        <s v="REQ_013"/>
        <s v="REQ_014"/>
        <s v="REQ_015"/>
        <s v="REQ_016"/>
        <s v="REQ_017"/>
        <s v="REQ_018"/>
        <s v="REQ_019"/>
        <s v="REQ_020"/>
        <s v="REQ_021"/>
        <s v="REQ_022"/>
        <s v="REQ_023"/>
        <s v="REQ_024"/>
        <s v="REQ_025"/>
        <s v="REQ_026"/>
        <s v="REQ_027"/>
        <s v="REQ_028"/>
        <s v="REQ_029"/>
        <s v="REQ_030"/>
        <s v="REQ_031"/>
        <s v="REQ_032"/>
        <s v="REQ_033"/>
        <s v="REQ_034"/>
        <s v="REQ_035"/>
        <s v="REQ_036"/>
        <s v="REQ_037"/>
        <s v="REQ_038"/>
        <s v="REQ_039"/>
        <s v="REQ_040"/>
        <s v="REQ_041"/>
        <s v="REQ_042"/>
        <s v="REQ_043"/>
        <s v="REQ_044"/>
        <s v="REQ_045"/>
        <s v="REQ_046"/>
        <s v="REQ_047"/>
        <s v="REQ_048"/>
        <s v="REQ_049"/>
        <s v="REQ_050"/>
      </sharedItems>
    </cacheField>
    <cacheField name="Role" numFmtId="0">
      <sharedItems count="50">
        <s v="Data Analyst"/>
        <s v="Business Analyst"/>
        <s v="HR Executive"/>
        <s v="HR Intern"/>
        <s v="Sales Executive"/>
        <s v="Sales Manager"/>
        <s v="Marketing Executive"/>
        <s v="Digital Marketer"/>
        <s v="Finance Analyst"/>
        <s v="Accounts Executive"/>
        <s v="Software Engineer"/>
        <s v="Backend Developer"/>
        <s v="Frontend Developer"/>
        <s v="QA Engineer"/>
        <s v="Operations Executive"/>
        <s v="Operations Manager"/>
        <s v="Supply Chain Analyst"/>
        <s v="Procurement Executive"/>
        <s v="Customer Support Exec"/>
        <s v="Support Team Lead"/>
        <s v="Data Engineer"/>
        <s v="MIS Executive"/>
        <s v="Talent Acquisition Exec"/>
        <s v="Payroll Executive"/>
        <s v="Admin Executive"/>
        <s v="Data Scientist"/>
        <s v="Junior Data Analyst"/>
        <s v="HR Business Partner"/>
        <s v="HR Operations Exec"/>
        <s v="Sales Intern"/>
        <s v="Key Account Manager"/>
        <s v="Growth Marketer"/>
        <s v="Content Strategist"/>
        <s v="Financial Controller"/>
        <s v="Cost Analyst"/>
        <s v="DevOps Engineer"/>
        <s v="Cloud Engineer"/>
        <s v="UI/UX Designer"/>
        <s v="IT Support Engineer"/>
        <s v="Plant Operations Exec"/>
        <s v="Operations Analyst"/>
        <s v="Logistics Coordinator"/>
        <s v="Warehouse Supervisor"/>
        <s v="Customer Success Manager"/>
        <s v="Call Center Lead"/>
        <s v="Compliance Officer"/>
        <s v="Office Coordinator"/>
        <s v="Executive Assistant"/>
        <s v="Business Operations Analyst"/>
        <s v="Strategy Analyst"/>
      </sharedItems>
    </cacheField>
    <cacheField name="Department" numFmtId="0">
      <sharedItems/>
    </cacheField>
    <cacheField name="Recruiter" numFmtId="0">
      <sharedItems count="4">
        <s v="Recruiter A"/>
        <s v="Recruiter B"/>
        <s v="Recruiter C"/>
        <s v="Recruiter D"/>
      </sharedItems>
    </cacheField>
    <cacheField name="Source" numFmtId="0">
      <sharedItems count="5">
        <s v="LinkedIn"/>
        <s v="Naukri"/>
        <s v="Campus"/>
        <s v="Referral"/>
        <s v="Walk-in"/>
      </sharedItems>
    </cacheField>
    <cacheField name="Applications_Received" numFmtId="0">
      <sharedItems containsSemiMixedTypes="0" containsString="0" containsNumber="1" containsInteger="1" minValue="45" maxValue="250"/>
    </cacheField>
    <cacheField name="Shortlisted" numFmtId="0">
      <sharedItems containsSemiMixedTypes="0" containsString="0" containsNumber="1" containsInteger="1" minValue="14" maxValue="60"/>
    </cacheField>
    <cacheField name="Interviewed" numFmtId="0">
      <sharedItems containsSemiMixedTypes="0" containsString="0" containsNumber="1" containsInteger="1" minValue="10" maxValue="35"/>
    </cacheField>
    <cacheField name="Offered" numFmtId="0">
      <sharedItems containsSemiMixedTypes="0" containsString="0" containsNumber="1" containsInteger="1" minValue="4" maxValue="12"/>
    </cacheField>
    <cacheField name="Joined" numFmtId="0">
      <sharedItems containsSemiMixedTypes="0" containsString="0" containsNumber="1" containsInteger="1" minValue="3" maxValue="10"/>
    </cacheField>
    <cacheField name="JD_Posted_Date" numFmtId="14">
      <sharedItems containsSemiMixedTypes="0" containsNonDate="0" containsDate="1" containsString="0" minDate="2024-01-10T00:00:00" maxDate="2025-10-29T00:00:00"/>
    </cacheField>
    <cacheField name="Offer_Accepted_Date" numFmtId="14">
      <sharedItems containsSemiMixedTypes="0" containsNonDate="0" containsDate="1" containsString="0" minDate="2024-01-19T00:00:00" maxDate="2026-02-26T00:00:00"/>
    </cacheField>
    <cacheField name="Joining_Date" numFmtId="14">
      <sharedItems containsSemiMixedTypes="0" containsNonDate="0" containsDate="1" containsString="0" minDate="2024-01-27T00:00:00" maxDate="2026-02-28T00:00:00"/>
    </cacheField>
    <cacheField name="Time_to_Hire_Days" numFmtId="0">
      <sharedItems containsSemiMixedTypes="0" containsString="0" containsNumber="1" containsInteger="1" minValue="4" maxValue="122"/>
    </cacheField>
    <cacheField name="Offer_to_Join_Days" numFmtId="0">
      <sharedItems containsSemiMixedTypes="0" containsString="0" containsNumber="1" containsInteger="1" minValue="1" maxValue="107"/>
    </cacheField>
    <cacheField name="App_to_Shortlist_%" numFmtId="9">
      <sharedItems containsSemiMixedTypes="0" containsString="0" containsNumber="1" minValue="0.21333333333333335" maxValue="0.31111111111111112"/>
    </cacheField>
    <cacheField name="Shortlist_to_Interview_%" numFmtId="9">
      <sharedItems containsSemiMixedTypes="0" containsString="0" containsNumber="1" minValue="0.54545454545454541" maxValue="0.73333333333333328"/>
    </cacheField>
    <cacheField name="Interview_to_Offer_%" numFmtId="9">
      <sharedItems containsSemiMixedTypes="0" containsString="0" containsNumber="1" minValue="0.22222222222222221" maxValue="0.46153846153846156"/>
    </cacheField>
    <cacheField name="Offer_to_Join_%" numFmtId="9">
      <sharedItems containsSemiMixedTypes="0" containsString="0" containsNumber="1" minValue="0.6" maxValue="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s v="Analytics"/>
    <x v="0"/>
    <x v="0"/>
    <n v="120"/>
    <n v="30"/>
    <n v="18"/>
    <n v="5"/>
    <n v="4"/>
    <d v="2024-01-10T00:00:00"/>
    <d v="2024-01-22T00:00:00"/>
    <d v="2024-02-07T00:00:00"/>
    <n v="28"/>
    <n v="16"/>
    <n v="0.25"/>
    <n v="0.6"/>
    <n v="0.27777777777777779"/>
    <n v="0.8"/>
  </r>
  <r>
    <x v="1"/>
    <x v="1"/>
    <s v="Analytics"/>
    <x v="1"/>
    <x v="1"/>
    <n v="95"/>
    <n v="24"/>
    <n v="14"/>
    <n v="4"/>
    <n v="3"/>
    <d v="2024-12-02T00:00:00"/>
    <d v="2025-01-08T00:00:00"/>
    <d v="2025-01-09T00:00:00"/>
    <n v="38"/>
    <n v="1"/>
    <n v="0.25263157894736843"/>
    <n v="0.58333333333333337"/>
    <n v="0.2857142857142857"/>
    <n v="0.75"/>
  </r>
  <r>
    <x v="2"/>
    <x v="2"/>
    <s v="HR"/>
    <x v="2"/>
    <x v="0"/>
    <n v="140"/>
    <n v="35"/>
    <n v="20"/>
    <n v="6"/>
    <n v="5"/>
    <d v="2024-08-30T00:00:00"/>
    <d v="2024-09-23T00:00:00"/>
    <d v="2024-10-25T00:00:00"/>
    <n v="56"/>
    <n v="32"/>
    <n v="0.25"/>
    <n v="0.5714285714285714"/>
    <n v="0.3"/>
    <n v="0.83333333333333337"/>
  </r>
  <r>
    <x v="3"/>
    <x v="3"/>
    <s v="HR"/>
    <x v="0"/>
    <x v="2"/>
    <n v="200"/>
    <n v="50"/>
    <n v="30"/>
    <n v="10"/>
    <n v="9"/>
    <d v="2024-01-18T00:00:00"/>
    <d v="2024-01-19T00:00:00"/>
    <d v="2024-01-27T00:00:00"/>
    <n v="9"/>
    <n v="8"/>
    <n v="0.25"/>
    <n v="0.6"/>
    <n v="0.33333333333333331"/>
    <n v="0.9"/>
  </r>
  <r>
    <x v="4"/>
    <x v="4"/>
    <s v="Sales"/>
    <x v="3"/>
    <x v="1"/>
    <n v="180"/>
    <n v="40"/>
    <n v="22"/>
    <n v="6"/>
    <n v="4"/>
    <d v="2024-02-25T00:00:00"/>
    <d v="2024-05-13T00:00:00"/>
    <d v="2024-06-12T00:00:00"/>
    <n v="108"/>
    <n v="30"/>
    <n v="0.22222222222222221"/>
    <n v="0.55000000000000004"/>
    <n v="0.27272727272727271"/>
    <n v="0.66666666666666663"/>
  </r>
  <r>
    <x v="5"/>
    <x v="5"/>
    <s v="Sales"/>
    <x v="1"/>
    <x v="3"/>
    <n v="60"/>
    <n v="18"/>
    <n v="12"/>
    <n v="5"/>
    <n v="4"/>
    <d v="2025-05-23T00:00:00"/>
    <d v="2025-06-01T00:00:00"/>
    <d v="2025-07-17T00:00:00"/>
    <n v="55"/>
    <n v="46"/>
    <n v="0.3"/>
    <n v="0.66666666666666696"/>
    <n v="0.41666666666666669"/>
    <n v="0.8"/>
  </r>
  <r>
    <x v="6"/>
    <x v="6"/>
    <s v="Marketing"/>
    <x v="2"/>
    <x v="0"/>
    <n v="130"/>
    <n v="32"/>
    <n v="19"/>
    <n v="5"/>
    <n v="4"/>
    <d v="2024-06-18T00:00:00"/>
    <d v="2024-06-20T00:00:00"/>
    <d v="2024-09-24T00:00:00"/>
    <n v="98"/>
    <n v="96"/>
    <n v="0.24615384615384617"/>
    <n v="0.59375"/>
    <n v="0.26315789473684209"/>
    <n v="0.8"/>
  </r>
  <r>
    <x v="7"/>
    <x v="7"/>
    <s v="Marketing"/>
    <x v="0"/>
    <x v="3"/>
    <n v="70"/>
    <n v="21"/>
    <n v="14"/>
    <n v="6"/>
    <n v="5"/>
    <d v="2025-02-03T00:00:00"/>
    <d v="2025-02-12T00:00:00"/>
    <d v="2025-02-20T00:00:00"/>
    <n v="17"/>
    <n v="8"/>
    <n v="0.3"/>
    <n v="0.66666666666666663"/>
    <n v="0.42857142857142855"/>
    <n v="0.83333333333333337"/>
  </r>
  <r>
    <x v="8"/>
    <x v="8"/>
    <s v="Finance"/>
    <x v="3"/>
    <x v="0"/>
    <n v="90"/>
    <n v="22"/>
    <n v="13"/>
    <n v="4"/>
    <n v="3"/>
    <d v="2025-03-05T00:00:00"/>
    <d v="2025-03-07T00:00:00"/>
    <d v="2025-03-09T00:00:00"/>
    <n v="4"/>
    <n v="2"/>
    <n v="0.24444444444444444"/>
    <n v="0.59090909090909094"/>
    <n v="0.30769230769230771"/>
    <n v="0.75"/>
  </r>
  <r>
    <x v="9"/>
    <x v="9"/>
    <s v="Finance"/>
    <x v="1"/>
    <x v="1"/>
    <n v="110"/>
    <n v="28"/>
    <n v="16"/>
    <n v="5"/>
    <n v="4"/>
    <d v="2025-10-28T00:00:00"/>
    <d v="2026-02-25T00:00:00"/>
    <d v="2026-02-27T00:00:00"/>
    <n v="122"/>
    <n v="2"/>
    <n v="0.25454545454545452"/>
    <n v="0.5714285714285714"/>
    <n v="0.3125"/>
    <n v="0.8"/>
  </r>
  <r>
    <x v="10"/>
    <x v="10"/>
    <s v="IT"/>
    <x v="2"/>
    <x v="0"/>
    <n v="160"/>
    <n v="35"/>
    <n v="20"/>
    <n v="5"/>
    <n v="3"/>
    <d v="2025-08-31T00:00:00"/>
    <d v="2025-09-29T00:00:00"/>
    <d v="2025-10-21T00:00:00"/>
    <n v="51"/>
    <n v="22"/>
    <n v="0.21875"/>
    <n v="0.5714285714285714"/>
    <n v="0.25"/>
    <n v="0.6"/>
  </r>
  <r>
    <x v="11"/>
    <x v="11"/>
    <s v="IT"/>
    <x v="0"/>
    <x v="3"/>
    <n v="75"/>
    <n v="23"/>
    <n v="15"/>
    <n v="6"/>
    <n v="5"/>
    <d v="2025-07-31T00:00:00"/>
    <d v="2025-08-07T00:00:00"/>
    <d v="2025-08-17T00:00:00"/>
    <n v="17"/>
    <n v="10"/>
    <n v="0.30666666666666664"/>
    <n v="0.65217391304347827"/>
    <n v="0.4"/>
    <n v="0.83333333333333337"/>
  </r>
  <r>
    <x v="12"/>
    <x v="12"/>
    <s v="IT"/>
    <x v="3"/>
    <x v="0"/>
    <n v="145"/>
    <n v="33"/>
    <n v="18"/>
    <n v="4"/>
    <n v="3"/>
    <d v="2024-06-25T00:00:00"/>
    <d v="2024-06-29T00:00:00"/>
    <d v="2024-09-26T00:00:00"/>
    <n v="93"/>
    <n v="89"/>
    <n v="0.22758620689655173"/>
    <n v="0.54545454545454541"/>
    <n v="0.22222222222222221"/>
    <n v="0.75"/>
  </r>
  <r>
    <x v="13"/>
    <x v="13"/>
    <s v="IT"/>
    <x v="1"/>
    <x v="1"/>
    <n v="100"/>
    <n v="25"/>
    <n v="15"/>
    <n v="5"/>
    <n v="4"/>
    <d v="2025-06-26T00:00:00"/>
    <d v="2025-08-23T00:00:00"/>
    <d v="2025-10-21T00:00:00"/>
    <n v="117"/>
    <n v="59"/>
    <n v="0.25"/>
    <n v="0.6"/>
    <n v="0.33333333333333331"/>
    <n v="0.8"/>
  </r>
  <r>
    <x v="14"/>
    <x v="14"/>
    <s v="Operations"/>
    <x v="0"/>
    <x v="0"/>
    <n v="125"/>
    <n v="30"/>
    <n v="18"/>
    <n v="5"/>
    <n v="4"/>
    <d v="2024-03-27T00:00:00"/>
    <d v="2024-04-27T00:00:00"/>
    <d v="2024-06-24T00:00:00"/>
    <n v="89"/>
    <n v="58"/>
    <n v="0.24"/>
    <n v="0.6"/>
    <n v="0.27777777777777779"/>
    <n v="0.8"/>
  </r>
  <r>
    <x v="15"/>
    <x v="15"/>
    <s v="Operations"/>
    <x v="2"/>
    <x v="3"/>
    <n v="55"/>
    <n v="17"/>
    <n v="12"/>
    <n v="5"/>
    <n v="4"/>
    <d v="2024-11-03T00:00:00"/>
    <d v="2025-01-29T00:00:00"/>
    <d v="2025-02-08T00:00:00"/>
    <n v="97"/>
    <n v="10"/>
    <n v="0.30909090909090908"/>
    <n v="0.70588235294117652"/>
    <n v="0.41666666666666669"/>
    <n v="0.8"/>
  </r>
  <r>
    <x v="16"/>
    <x v="16"/>
    <s v="SCM"/>
    <x v="3"/>
    <x v="0"/>
    <n v="85"/>
    <n v="21"/>
    <n v="13"/>
    <n v="4"/>
    <n v="3"/>
    <d v="2024-06-03T00:00:00"/>
    <d v="2024-08-10T00:00:00"/>
    <d v="2024-09-21T00:00:00"/>
    <n v="110"/>
    <n v="42"/>
    <n v="0.24705882352941178"/>
    <n v="0.61904761904761907"/>
    <n v="0.30769230769230771"/>
    <n v="0.75"/>
  </r>
  <r>
    <x v="17"/>
    <x v="17"/>
    <s v="SCM"/>
    <x v="1"/>
    <x v="1"/>
    <n v="105"/>
    <n v="26"/>
    <n v="16"/>
    <n v="5"/>
    <n v="4"/>
    <d v="2024-12-06T00:00:00"/>
    <d v="2025-01-13T00:00:00"/>
    <d v="2025-02-15T00:00:00"/>
    <n v="71"/>
    <n v="33"/>
    <n v="0.24761904761904763"/>
    <n v="0.61538461538461542"/>
    <n v="0.3125"/>
    <n v="0.8"/>
  </r>
  <r>
    <x v="18"/>
    <x v="18"/>
    <s v="Support"/>
    <x v="2"/>
    <x v="4"/>
    <n v="220"/>
    <n v="55"/>
    <n v="32"/>
    <n v="10"/>
    <n v="8"/>
    <d v="2025-03-30T00:00:00"/>
    <d v="2025-05-05T00:00:00"/>
    <d v="2025-05-17T00:00:00"/>
    <n v="48"/>
    <n v="12"/>
    <n v="0.25"/>
    <n v="0.58181818181818179"/>
    <n v="0.3125"/>
    <n v="0.8"/>
  </r>
  <r>
    <x v="19"/>
    <x v="19"/>
    <s v="Support"/>
    <x v="0"/>
    <x v="3"/>
    <n v="65"/>
    <n v="20"/>
    <n v="14"/>
    <n v="6"/>
    <n v="5"/>
    <d v="2024-08-26T00:00:00"/>
    <d v="2024-09-16T00:00:00"/>
    <d v="2024-09-22T00:00:00"/>
    <n v="27"/>
    <n v="6"/>
    <n v="0.30769230769230771"/>
    <n v="0.7"/>
    <n v="0.42857142857142855"/>
    <n v="0.83333333333333337"/>
  </r>
  <r>
    <x v="20"/>
    <x v="20"/>
    <s v="Analytics"/>
    <x v="3"/>
    <x v="0"/>
    <n v="130"/>
    <n v="28"/>
    <n v="16"/>
    <n v="4"/>
    <n v="3"/>
    <d v="2025-06-12T00:00:00"/>
    <d v="2025-06-15T00:00:00"/>
    <d v="2025-07-07T00:00:00"/>
    <n v="25"/>
    <n v="22"/>
    <n v="0.2153846153846154"/>
    <n v="0.5714285714285714"/>
    <n v="0.25"/>
    <n v="0.75"/>
  </r>
  <r>
    <x v="21"/>
    <x v="21"/>
    <s v="Analytics"/>
    <x v="1"/>
    <x v="1"/>
    <n v="115"/>
    <n v="27"/>
    <n v="16"/>
    <n v="5"/>
    <n v="4"/>
    <d v="2025-04-22T00:00:00"/>
    <d v="2025-06-23T00:00:00"/>
    <d v="2025-07-14T00:00:00"/>
    <n v="83"/>
    <n v="21"/>
    <n v="0.23478260869565218"/>
    <n v="0.59259259259259256"/>
    <n v="0.3125"/>
    <n v="0.8"/>
  </r>
  <r>
    <x v="22"/>
    <x v="22"/>
    <s v="HR"/>
    <x v="0"/>
    <x v="0"/>
    <n v="100"/>
    <n v="25"/>
    <n v="15"/>
    <n v="5"/>
    <n v="4"/>
    <d v="2024-05-08T00:00:00"/>
    <d v="2024-06-17T00:00:00"/>
    <d v="2024-07-13T00:00:00"/>
    <n v="66"/>
    <n v="26"/>
    <n v="0.25"/>
    <n v="0.6"/>
    <n v="0.33333333333333331"/>
    <n v="0.8"/>
  </r>
  <r>
    <x v="23"/>
    <x v="23"/>
    <s v="HR"/>
    <x v="2"/>
    <x v="3"/>
    <n v="60"/>
    <n v="18"/>
    <n v="12"/>
    <n v="5"/>
    <n v="4"/>
    <d v="2025-04-23T00:00:00"/>
    <d v="2025-05-04T00:00:00"/>
    <d v="2025-07-05T00:00:00"/>
    <n v="73"/>
    <n v="62"/>
    <n v="0.3"/>
    <n v="0.66666666666666663"/>
    <n v="0.41666666666666669"/>
    <n v="0.8"/>
  </r>
  <r>
    <x v="24"/>
    <x v="24"/>
    <s v="Admin"/>
    <x v="3"/>
    <x v="4"/>
    <n v="150"/>
    <n v="35"/>
    <n v="20"/>
    <n v="6"/>
    <n v="5"/>
    <d v="2024-03-16T00:00:00"/>
    <d v="2024-04-30T00:00:00"/>
    <d v="2024-05-05T00:00:00"/>
    <n v="50"/>
    <n v="5"/>
    <n v="0.23333333333333334"/>
    <n v="0.5714285714285714"/>
    <n v="0.3"/>
    <n v="0.83333333333333337"/>
  </r>
  <r>
    <x v="25"/>
    <x v="25"/>
    <s v="Analytics"/>
    <x v="0"/>
    <x v="0"/>
    <n v="140"/>
    <n v="30"/>
    <n v="18"/>
    <n v="5"/>
    <n v="4"/>
    <d v="2024-10-19T00:00:00"/>
    <d v="2024-11-11T00:00:00"/>
    <d v="2025-01-16T00:00:00"/>
    <n v="89"/>
    <n v="66"/>
    <n v="0.21428571428571427"/>
    <n v="0.6"/>
    <n v="0.27777777777777779"/>
    <n v="0.8"/>
  </r>
  <r>
    <x v="26"/>
    <x v="26"/>
    <s v="Analytics"/>
    <x v="1"/>
    <x v="2"/>
    <n v="180"/>
    <n v="45"/>
    <n v="28"/>
    <n v="9"/>
    <n v="8"/>
    <d v="2025-07-22T00:00:00"/>
    <d v="2025-08-17T00:00:00"/>
    <d v="2025-10-21T00:00:00"/>
    <n v="91"/>
    <n v="65"/>
    <n v="0.25"/>
    <n v="0.62222222222222223"/>
    <n v="0.32142857142857145"/>
    <n v="0.88888888888888884"/>
  </r>
  <r>
    <x v="27"/>
    <x v="27"/>
    <s v="HR"/>
    <x v="2"/>
    <x v="3"/>
    <n v="55"/>
    <n v="17"/>
    <n v="12"/>
    <n v="5"/>
    <n v="4"/>
    <d v="2025-05-05T00:00:00"/>
    <d v="2025-06-06T00:00:00"/>
    <d v="2025-07-19T00:00:00"/>
    <n v="75"/>
    <n v="43"/>
    <n v="0.30909090909090908"/>
    <n v="0.70588235294117652"/>
    <n v="0.41666666666666669"/>
    <n v="0.8"/>
  </r>
  <r>
    <x v="28"/>
    <x v="28"/>
    <s v="HR"/>
    <x v="3"/>
    <x v="1"/>
    <n v="120"/>
    <n v="28"/>
    <n v="17"/>
    <n v="5"/>
    <n v="4"/>
    <d v="2025-05-28T00:00:00"/>
    <d v="2025-08-28T00:00:00"/>
    <d v="2025-09-12T00:00:00"/>
    <n v="107"/>
    <n v="15"/>
    <n v="0.23333333333333334"/>
    <n v="0.6071428571428571"/>
    <n v="0.29411764705882354"/>
    <n v="0.8"/>
  </r>
  <r>
    <x v="29"/>
    <x v="29"/>
    <s v="Sales"/>
    <x v="0"/>
    <x v="2"/>
    <n v="250"/>
    <n v="60"/>
    <n v="35"/>
    <n v="12"/>
    <n v="10"/>
    <d v="2025-08-30T00:00:00"/>
    <d v="2025-09-07T00:00:00"/>
    <d v="2025-10-02T00:00:00"/>
    <n v="33"/>
    <n v="25"/>
    <n v="0.24"/>
    <n v="0.58333333333333337"/>
    <n v="0.34285714285714286"/>
    <n v="0.83333333333333337"/>
  </r>
  <r>
    <x v="30"/>
    <x v="30"/>
    <s v="Sales"/>
    <x v="1"/>
    <x v="0"/>
    <n v="85"/>
    <n v="20"/>
    <n v="13"/>
    <n v="4"/>
    <n v="3"/>
    <d v="2025-03-15T00:00:00"/>
    <d v="2025-04-05T00:00:00"/>
    <d v="2025-05-15T00:00:00"/>
    <n v="61"/>
    <n v="40"/>
    <n v="0.23529411764705882"/>
    <n v="0.65"/>
    <n v="0.30769230769230771"/>
    <n v="0.75"/>
  </r>
  <r>
    <x v="31"/>
    <x v="31"/>
    <s v="Marketing"/>
    <x v="2"/>
    <x v="0"/>
    <n v="110"/>
    <n v="26"/>
    <n v="16"/>
    <n v="5"/>
    <n v="4"/>
    <d v="2024-04-23T00:00:00"/>
    <d v="2024-05-27T00:00:00"/>
    <d v="2024-07-04T00:00:00"/>
    <n v="72"/>
    <n v="38"/>
    <n v="0.23636363636363636"/>
    <n v="0.61538461538461542"/>
    <n v="0.3125"/>
    <n v="0.8"/>
  </r>
  <r>
    <x v="32"/>
    <x v="32"/>
    <s v="Marketing"/>
    <x v="3"/>
    <x v="3"/>
    <n v="65"/>
    <n v="19"/>
    <n v="13"/>
    <n v="6"/>
    <n v="5"/>
    <d v="2025-07-06T00:00:00"/>
    <d v="2025-08-21T00:00:00"/>
    <d v="2025-09-05T00:00:00"/>
    <n v="61"/>
    <n v="15"/>
    <n v="0.29230769230769232"/>
    <n v="0.68421052631578949"/>
    <n v="0.46153846153846156"/>
    <n v="0.83333333333333337"/>
  </r>
  <r>
    <x v="33"/>
    <x v="33"/>
    <s v="Finance"/>
    <x v="0"/>
    <x v="3"/>
    <n v="45"/>
    <n v="14"/>
    <n v="10"/>
    <n v="4"/>
    <n v="3"/>
    <d v="2025-04-21T00:00:00"/>
    <d v="2025-05-13T00:00:00"/>
    <d v="2025-05-25T00:00:00"/>
    <n v="34"/>
    <n v="12"/>
    <n v="0.31111111111111112"/>
    <n v="0.7142857142857143"/>
    <n v="0.4"/>
    <n v="0.75"/>
  </r>
  <r>
    <x v="34"/>
    <x v="34"/>
    <s v="Finance"/>
    <x v="1"/>
    <x v="0"/>
    <n v="95"/>
    <n v="22"/>
    <n v="14"/>
    <n v="4"/>
    <n v="3"/>
    <d v="2025-06-16T00:00:00"/>
    <d v="2025-06-22T00:00:00"/>
    <d v="2025-08-15T00:00:00"/>
    <n v="60"/>
    <n v="54"/>
    <n v="0.23157894736842105"/>
    <n v="0.63636363636363635"/>
    <n v="0.2857142857142857"/>
    <n v="0.75"/>
  </r>
  <r>
    <x v="35"/>
    <x v="35"/>
    <s v="IT"/>
    <x v="2"/>
    <x v="0"/>
    <n v="125"/>
    <n v="28"/>
    <n v="16"/>
    <n v="4"/>
    <n v="3"/>
    <d v="2025-07-06T00:00:00"/>
    <d v="2025-08-01T00:00:00"/>
    <d v="2025-09-23T00:00:00"/>
    <n v="79"/>
    <n v="53"/>
    <n v="0.224"/>
    <n v="0.5714285714285714"/>
    <n v="0.25"/>
    <n v="0.75"/>
  </r>
  <r>
    <x v="36"/>
    <x v="36"/>
    <s v="IT"/>
    <x v="3"/>
    <x v="3"/>
    <n v="60"/>
    <n v="18"/>
    <n v="13"/>
    <n v="6"/>
    <n v="5"/>
    <d v="2024-08-26T00:00:00"/>
    <d v="2024-11-28T00:00:00"/>
    <d v="2024-12-15T00:00:00"/>
    <n v="111"/>
    <n v="17"/>
    <n v="0.3"/>
    <n v="0.72222222222222221"/>
    <n v="0.46153846153846156"/>
    <n v="0.83333333333333337"/>
  </r>
  <r>
    <x v="37"/>
    <x v="37"/>
    <s v="IT"/>
    <x v="0"/>
    <x v="0"/>
    <n v="150"/>
    <n v="32"/>
    <n v="19"/>
    <n v="5"/>
    <n v="4"/>
    <d v="2025-03-08T00:00:00"/>
    <d v="2025-03-08T00:00:00"/>
    <d v="2025-03-13T00:00:00"/>
    <n v="5"/>
    <n v="5"/>
    <n v="0.21333333333333335"/>
    <n v="0.59375"/>
    <n v="0.26315789473684209"/>
    <n v="0.8"/>
  </r>
  <r>
    <x v="38"/>
    <x v="38"/>
    <s v="IT"/>
    <x v="1"/>
    <x v="4"/>
    <n v="210"/>
    <n v="50"/>
    <n v="30"/>
    <n v="9"/>
    <n v="7"/>
    <d v="2024-04-17T00:00:00"/>
    <d v="2024-04-25T00:00:00"/>
    <d v="2024-05-04T00:00:00"/>
    <n v="17"/>
    <n v="9"/>
    <n v="0.23809523809523808"/>
    <n v="0.6"/>
    <n v="0.3"/>
    <n v="0.77777777777777779"/>
  </r>
  <r>
    <x v="39"/>
    <x v="39"/>
    <s v="Operations"/>
    <x v="2"/>
    <x v="1"/>
    <n v="130"/>
    <n v="30"/>
    <n v="18"/>
    <n v="5"/>
    <n v="4"/>
    <d v="2025-05-25T00:00:00"/>
    <d v="2025-06-24T00:00:00"/>
    <d v="2025-07-22T00:00:00"/>
    <n v="58"/>
    <n v="28"/>
    <n v="0.23076923076923078"/>
    <n v="0.6"/>
    <n v="0.27777777777777779"/>
    <n v="0.8"/>
  </r>
  <r>
    <x v="40"/>
    <x v="40"/>
    <s v="Operations"/>
    <x v="3"/>
    <x v="0"/>
    <n v="90"/>
    <n v="22"/>
    <n v="14"/>
    <n v="4"/>
    <n v="3"/>
    <d v="2024-10-25T00:00:00"/>
    <d v="2024-11-05T00:00:00"/>
    <d v="2024-11-15T00:00:00"/>
    <n v="21"/>
    <n v="10"/>
    <n v="0.24444444444444444"/>
    <n v="0.63636363636363635"/>
    <n v="0.2857142857142857"/>
    <n v="0.75"/>
  </r>
  <r>
    <x v="41"/>
    <x v="41"/>
    <s v="SCM"/>
    <x v="0"/>
    <x v="1"/>
    <n v="115"/>
    <n v="27"/>
    <n v="16"/>
    <n v="5"/>
    <n v="4"/>
    <d v="2025-01-10T00:00:00"/>
    <d v="2025-01-28T00:00:00"/>
    <d v="2025-03-26T00:00:00"/>
    <n v="75"/>
    <n v="57"/>
    <n v="0.23478260869565218"/>
    <n v="0.59259259259259256"/>
    <n v="0.3125"/>
    <n v="0.8"/>
  </r>
  <r>
    <x v="42"/>
    <x v="42"/>
    <s v="SCM"/>
    <x v="1"/>
    <x v="4"/>
    <n v="190"/>
    <n v="45"/>
    <n v="26"/>
    <n v="8"/>
    <n v="6"/>
    <d v="2024-09-01T00:00:00"/>
    <d v="2024-09-01T00:00:00"/>
    <d v="2024-12-17T00:00:00"/>
    <n v="107"/>
    <n v="107"/>
    <n v="0.23684210526315788"/>
    <n v="0.57777777777777772"/>
    <n v="0.30769230769230771"/>
    <n v="0.75"/>
  </r>
  <r>
    <x v="43"/>
    <x v="43"/>
    <s v="Support"/>
    <x v="2"/>
    <x v="0"/>
    <n v="100"/>
    <n v="24"/>
    <n v="15"/>
    <n v="5"/>
    <n v="4"/>
    <d v="2024-07-12T00:00:00"/>
    <d v="2024-08-15T00:00:00"/>
    <d v="2024-11-11T00:00:00"/>
    <n v="122"/>
    <n v="88"/>
    <n v="0.24"/>
    <n v="0.625"/>
    <n v="0.33333333333333331"/>
    <n v="0.8"/>
  </r>
  <r>
    <x v="44"/>
    <x v="44"/>
    <s v="Support"/>
    <x v="3"/>
    <x v="3"/>
    <n v="70"/>
    <n v="21"/>
    <n v="14"/>
    <n v="6"/>
    <n v="5"/>
    <d v="2024-10-08T00:00:00"/>
    <d v="2024-10-21T00:00:00"/>
    <d v="2024-12-30T00:00:00"/>
    <n v="83"/>
    <n v="70"/>
    <n v="0.3"/>
    <n v="0.66666666666666663"/>
    <n v="0.42857142857142855"/>
    <n v="0.83333333333333337"/>
  </r>
  <r>
    <x v="45"/>
    <x v="45"/>
    <s v="Admin"/>
    <x v="0"/>
    <x v="0"/>
    <n v="80"/>
    <n v="20"/>
    <n v="12"/>
    <n v="4"/>
    <n v="3"/>
    <d v="2024-07-19T00:00:00"/>
    <d v="2024-07-24T00:00:00"/>
    <d v="2024-10-04T00:00:00"/>
    <n v="77"/>
    <n v="72"/>
    <n v="0.25"/>
    <n v="0.6"/>
    <n v="0.33333333333333331"/>
    <n v="0.75"/>
  </r>
  <r>
    <x v="46"/>
    <x v="46"/>
    <s v="Admin"/>
    <x v="1"/>
    <x v="4"/>
    <n v="160"/>
    <n v="38"/>
    <n v="22"/>
    <n v="7"/>
    <n v="6"/>
    <d v="2025-01-27T00:00:00"/>
    <d v="2025-03-08T00:00:00"/>
    <d v="2025-03-30T00:00:00"/>
    <n v="62"/>
    <n v="22"/>
    <n v="0.23749999999999999"/>
    <n v="0.57894736842105265"/>
    <n v="0.31818181818181818"/>
    <n v="0.8571428571428571"/>
  </r>
  <r>
    <x v="47"/>
    <x v="47"/>
    <s v="Admin"/>
    <x v="2"/>
    <x v="3"/>
    <n v="50"/>
    <n v="15"/>
    <n v="11"/>
    <n v="5"/>
    <n v="4"/>
    <d v="2025-07-27T00:00:00"/>
    <d v="2025-08-04T00:00:00"/>
    <d v="2025-10-13T00:00:00"/>
    <n v="78"/>
    <n v="70"/>
    <n v="0.3"/>
    <n v="0.73333333333333328"/>
    <n v="0.45454545454545453"/>
    <n v="0.8"/>
  </r>
  <r>
    <x v="48"/>
    <x v="48"/>
    <s v="Operations"/>
    <x v="3"/>
    <x v="0"/>
    <n v="105"/>
    <n v="25"/>
    <n v="15"/>
    <n v="4"/>
    <n v="3"/>
    <d v="2024-12-28T00:00:00"/>
    <d v="2025-01-12T00:00:00"/>
    <d v="2025-02-18T00:00:00"/>
    <n v="52"/>
    <n v="37"/>
    <n v="0.23809523809523808"/>
    <n v="0.6"/>
    <n v="0.26666666666666666"/>
    <n v="0.75"/>
  </r>
  <r>
    <x v="49"/>
    <x v="49"/>
    <s v="Analytics"/>
    <x v="0"/>
    <x v="3"/>
    <n v="65"/>
    <n v="18"/>
    <n v="12"/>
    <n v="5"/>
    <n v="4"/>
    <d v="2025-10-22T00:00:00"/>
    <d v="2025-11-12T00:00:00"/>
    <d v="2026-02-03T00:00:00"/>
    <n v="104"/>
    <n v="83"/>
    <n v="0.27692307692307694"/>
    <n v="0.66666666666666663"/>
    <n v="0.41666666666666669"/>
    <n v="0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FD299-4BB4-467E-A10E-490FCC58B2A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4" firstHeaderRow="0" firstDataRow="1" firstDataCol="0"/>
  <pivotFields count="19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14" showAll="0"/>
    <pivotField numFmtId="14" showAll="0"/>
    <pivotField numFmtId="14" showAll="0"/>
    <pivotField showAll="0"/>
    <pivotField showAll="0"/>
    <pivotField numFmtId="9" showAll="0"/>
    <pivotField numFmtId="9" showAll="0"/>
    <pivotField numFmtId="9" showAll="0"/>
    <pivotField numFmtId="9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pplications_Received" fld="5" baseField="0" baseItem="0"/>
    <dataField name="Sum of Shortlisted" fld="6" baseField="0" baseItem="0"/>
    <dataField name="Sum of Interviewed" fld="7" baseField="0" baseItem="0"/>
    <dataField name="Sum of Offered" fld="8" baseField="0" baseItem="0"/>
    <dataField name="Sum of Joined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23614-6ADE-4C19-9AE6-FD9802F9C90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4" firstHeaderRow="1" firstDataRow="1" firstDataCol="1"/>
  <pivotFields count="19">
    <pivotField showAll="0"/>
    <pivotField axis="axisRow" showAll="0" sortType="descending">
      <items count="51">
        <item x="42"/>
        <item x="37"/>
        <item x="22"/>
        <item x="19"/>
        <item x="16"/>
        <item x="49"/>
        <item x="10"/>
        <item x="5"/>
        <item x="29"/>
        <item x="4"/>
        <item x="13"/>
        <item x="17"/>
        <item x="39"/>
        <item x="23"/>
        <item x="15"/>
        <item x="14"/>
        <item x="40"/>
        <item x="46"/>
        <item x="21"/>
        <item x="6"/>
        <item x="41"/>
        <item x="30"/>
        <item x="26"/>
        <item x="38"/>
        <item x="28"/>
        <item x="3"/>
        <item x="2"/>
        <item x="27"/>
        <item x="31"/>
        <item x="12"/>
        <item x="33"/>
        <item x="8"/>
        <item x="47"/>
        <item x="7"/>
        <item x="35"/>
        <item x="25"/>
        <item x="20"/>
        <item x="0"/>
        <item x="18"/>
        <item x="43"/>
        <item x="34"/>
        <item x="32"/>
        <item x="45"/>
        <item x="36"/>
        <item x="44"/>
        <item x="48"/>
        <item x="1"/>
        <item x="11"/>
        <item x="2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  <pivotField dataField="1" showAll="0"/>
    <pivotField showAll="0"/>
    <pivotField numFmtId="9" showAll="0"/>
    <pivotField numFmtId="9" showAll="0"/>
    <pivotField numFmtId="9" showAll="0"/>
    <pivotField numFmtId="9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Time_to_Hire_Days" fld="13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7E30B-C724-457A-981B-67EC1B129CD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9" firstHeaderRow="0" firstDataRow="1" firstDataCol="1"/>
  <pivotFields count="19"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dataField="1" showAll="0"/>
    <pivotField showAll="0"/>
    <pivotField showAll="0"/>
    <pivotField showAll="0"/>
    <pivotField dataField="1" showAll="0"/>
    <pivotField numFmtId="14" showAll="0"/>
    <pivotField numFmtId="14" showAll="0"/>
    <pivotField numFmtId="14" showAll="0"/>
    <pivotField showAll="0"/>
    <pivotField showAll="0"/>
    <pivotField numFmtId="9" showAll="0"/>
    <pivotField numFmtId="9" showAll="0"/>
    <pivotField numFmtId="9" showAll="0"/>
    <pivotField dataField="1" numFmtId="9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pplications_Received" fld="5" baseField="0" baseItem="0"/>
    <dataField name="Sum of Joined" fld="9" baseField="0" baseItem="0"/>
    <dataField name="Average of Offer_to_Join_%" fld="18" subtotal="average" baseField="4" baseItem="0" numFmtId="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F238C-8A90-41B3-BC8C-1D4D179AD1F2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0" firstDataRow="1" firstDataCol="1"/>
  <pivotFields count="19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4" showAll="0"/>
    <pivotField numFmtId="14" showAll="0"/>
    <pivotField numFmtId="14" showAll="0"/>
    <pivotField dataField="1" showAll="0"/>
    <pivotField showAll="0"/>
    <pivotField numFmtId="9" showAll="0"/>
    <pivotField numFmtId="9" showAll="0"/>
    <pivotField numFmtId="9" showAll="0"/>
    <pivotField numFmtId="9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quisition_ID" fld="0" subtotal="count" baseField="0" baseItem="0"/>
    <dataField name="Average of Time_to_Hire_Days" fld="13" subtotal="average" baseField="3" baseItem="0"/>
    <dataField name="Sum of Joined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37780-6A58-4EF6-A35E-1123FA901EFC}" name="Table1" displayName="Table1" ref="A1:S51" totalsRowShown="0" headerRowDxfId="0" dataDxfId="1" dataCellStyle="Percent">
  <autoFilter ref="A1:S51" xr:uid="{B2269B4A-ACE1-4CAD-A60B-ECEA373270D2}"/>
  <tableColumns count="19">
    <tableColumn id="1" xr3:uid="{CF0FE686-8D52-4351-945D-1BC2553F5DCC}" name="Requisition_ID" dataDxfId="20"/>
    <tableColumn id="2" xr3:uid="{82A1EF52-3253-4B42-939A-C01C8AA1DC6E}" name="Role" dataDxfId="19"/>
    <tableColumn id="3" xr3:uid="{CF8EE52C-1F41-49AF-8F11-96F9EDF4B7C6}" name="Department" dataDxfId="18"/>
    <tableColumn id="4" xr3:uid="{C97A1032-C178-4075-9663-9DAC5CE1C9C3}" name="Recruiter" dataDxfId="17"/>
    <tableColumn id="5" xr3:uid="{1D6C3BB7-5DE7-475D-86B2-6B3DD0FFBE69}" name="Source" dataDxfId="16"/>
    <tableColumn id="6" xr3:uid="{10F5CC02-ADB7-41F9-ACBD-34D650A1A90D}" name="Applications_Received" dataDxfId="15"/>
    <tableColumn id="7" xr3:uid="{C9606712-8A4F-437D-B03E-E83F967245E5}" name="Shortlisted" dataDxfId="14"/>
    <tableColumn id="8" xr3:uid="{DED44951-3309-492D-ADE4-81D02AE77179}" name="Interviewed" dataDxfId="13"/>
    <tableColumn id="9" xr3:uid="{5EF4C27D-98D1-4779-853A-574DE7984C2D}" name="Offered" dataDxfId="12"/>
    <tableColumn id="10" xr3:uid="{25A65967-435C-4DF8-92A1-AF2E0F425F89}" name="Joined" dataDxfId="11"/>
    <tableColumn id="11" xr3:uid="{A1AD6E2D-7FAF-4BF0-8278-A6C459509750}" name="JD_Posted_Date" dataDxfId="10"/>
    <tableColumn id="12" xr3:uid="{C12E659F-142F-43F1-8814-EE8ABBCBECD5}" name="Offer_Accepted_Date" dataDxfId="9"/>
    <tableColumn id="13" xr3:uid="{B990D850-28F3-4746-B756-6CBDA9BB83ED}" name="Joining_Date" dataDxfId="8"/>
    <tableColumn id="14" xr3:uid="{FB2ECE87-E2D6-42A4-A574-BCD1DD0F6DF6}" name="Time_to_Hire_Days" dataDxfId="7"/>
    <tableColumn id="15" xr3:uid="{D6C88A85-24DA-4455-910A-A4393280D2F4}" name="Offer_to_Join_Days" dataDxfId="6"/>
    <tableColumn id="16" xr3:uid="{6CDD630A-63E0-4748-9F08-13BED1DA0170}" name="App_to_Shortlist_%" dataDxfId="5" dataCellStyle="Percent"/>
    <tableColumn id="17" xr3:uid="{92EB4B5B-F753-40F6-BC76-FE36437E79DB}" name="Shortlist_to_Interview_%" dataDxfId="4" dataCellStyle="Percent"/>
    <tableColumn id="18" xr3:uid="{51DB46ED-49D5-4310-AC03-71FE0EB4A92B}" name="Interview_to_Offer_%" dataDxfId="3" dataCellStyle="Percent"/>
    <tableColumn id="19" xr3:uid="{BA6348F0-4F7A-450C-8B23-C48795DA0EA8}" name="Offer_to_Join_%" dataDxfId="2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9B4A-ACE1-4CAD-A60B-ECEA373270D2}">
  <dimension ref="A1:S51"/>
  <sheetViews>
    <sheetView tabSelected="1" topLeftCell="A2" zoomScaleNormal="100" workbookViewId="0">
      <selection activeCell="A2" sqref="A1:XFD1048576"/>
    </sheetView>
  </sheetViews>
  <sheetFormatPr defaultColWidth="23.42578125" defaultRowHeight="15" x14ac:dyDescent="0.25"/>
  <cols>
    <col min="1" max="1" width="16.140625" customWidth="1"/>
    <col min="2" max="2" width="26.5703125" style="4" bestFit="1" customWidth="1"/>
    <col min="3" max="3" width="13.85546875" customWidth="1"/>
    <col min="4" max="4" width="11.28515625" customWidth="1"/>
    <col min="5" max="5" width="9.140625" customWidth="1"/>
    <col min="6" max="6" width="23.28515625" customWidth="1"/>
    <col min="7" max="7" width="12.85546875" customWidth="1"/>
    <col min="8" max="8" width="14" customWidth="1"/>
    <col min="9" max="9" width="10.140625" customWidth="1"/>
    <col min="10" max="10" width="9" customWidth="1"/>
    <col min="17" max="17" width="25.5703125" customWidth="1"/>
  </cols>
  <sheetData>
    <row r="1" spans="1:19" x14ac:dyDescent="0.25">
      <c r="A1" s="2" t="s">
        <v>0</v>
      </c>
      <c r="B1" s="3" t="s">
        <v>2</v>
      </c>
      <c r="C1" s="2" t="s">
        <v>4</v>
      </c>
      <c r="D1" s="2" t="s">
        <v>6</v>
      </c>
      <c r="E1" s="2" t="s">
        <v>8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10</v>
      </c>
      <c r="L1" s="5" t="s">
        <v>16</v>
      </c>
      <c r="M1" s="5" t="s">
        <v>17</v>
      </c>
      <c r="N1" s="5" t="s">
        <v>132</v>
      </c>
      <c r="O1" s="5" t="s">
        <v>133</v>
      </c>
      <c r="P1" s="5" t="s">
        <v>134</v>
      </c>
      <c r="Q1" s="5" t="s">
        <v>135</v>
      </c>
      <c r="R1" s="2" t="s">
        <v>136</v>
      </c>
      <c r="S1" s="5" t="s">
        <v>137</v>
      </c>
    </row>
    <row r="2" spans="1:19" x14ac:dyDescent="0.25">
      <c r="A2" s="1" t="s">
        <v>1</v>
      </c>
      <c r="B2" s="6" t="s">
        <v>3</v>
      </c>
      <c r="C2" s="1" t="s">
        <v>5</v>
      </c>
      <c r="D2" s="1" t="s">
        <v>7</v>
      </c>
      <c r="E2" s="1" t="s">
        <v>9</v>
      </c>
      <c r="F2" s="1">
        <v>120</v>
      </c>
      <c r="G2" s="1">
        <v>30</v>
      </c>
      <c r="H2" s="1">
        <v>18</v>
      </c>
      <c r="I2" s="1">
        <v>5</v>
      </c>
      <c r="J2" s="1">
        <v>4</v>
      </c>
      <c r="K2" s="7">
        <v>45301</v>
      </c>
      <c r="L2" s="7">
        <v>45313</v>
      </c>
      <c r="M2" s="8">
        <v>45329</v>
      </c>
      <c r="N2" s="9">
        <v>28</v>
      </c>
      <c r="O2" s="9">
        <v>16</v>
      </c>
      <c r="P2" s="10">
        <v>0.25</v>
      </c>
      <c r="Q2" s="10">
        <v>0.6</v>
      </c>
      <c r="R2" s="10">
        <v>0.27777777777777779</v>
      </c>
      <c r="S2" s="10">
        <v>0.8</v>
      </c>
    </row>
    <row r="3" spans="1:19" x14ac:dyDescent="0.25">
      <c r="A3" s="1" t="s">
        <v>18</v>
      </c>
      <c r="B3" s="6" t="s">
        <v>19</v>
      </c>
      <c r="C3" s="1" t="s">
        <v>5</v>
      </c>
      <c r="D3" s="1" t="s">
        <v>20</v>
      </c>
      <c r="E3" s="1" t="s">
        <v>21</v>
      </c>
      <c r="F3" s="1">
        <v>95</v>
      </c>
      <c r="G3" s="1">
        <v>24</v>
      </c>
      <c r="H3" s="1">
        <v>14</v>
      </c>
      <c r="I3" s="1">
        <v>4</v>
      </c>
      <c r="J3" s="1">
        <v>3</v>
      </c>
      <c r="K3" s="7">
        <v>45628</v>
      </c>
      <c r="L3" s="7">
        <v>45665</v>
      </c>
      <c r="M3" s="8">
        <v>45666</v>
      </c>
      <c r="N3" s="9">
        <v>38</v>
      </c>
      <c r="O3" s="9">
        <v>1</v>
      </c>
      <c r="P3" s="10">
        <v>0.25263157894736843</v>
      </c>
      <c r="Q3" s="10">
        <v>0.58333333333333337</v>
      </c>
      <c r="R3" s="10">
        <v>0.2857142857142857</v>
      </c>
      <c r="S3" s="10">
        <v>0.75</v>
      </c>
    </row>
    <row r="4" spans="1:19" x14ac:dyDescent="0.25">
      <c r="A4" s="1" t="s">
        <v>22</v>
      </c>
      <c r="B4" s="6" t="s">
        <v>23</v>
      </c>
      <c r="C4" s="1" t="s">
        <v>24</v>
      </c>
      <c r="D4" s="1" t="s">
        <v>25</v>
      </c>
      <c r="E4" s="1" t="s">
        <v>9</v>
      </c>
      <c r="F4" s="1">
        <v>140</v>
      </c>
      <c r="G4" s="1">
        <v>35</v>
      </c>
      <c r="H4" s="1">
        <v>20</v>
      </c>
      <c r="I4" s="1">
        <v>6</v>
      </c>
      <c r="J4" s="1">
        <v>5</v>
      </c>
      <c r="K4" s="7">
        <v>45534</v>
      </c>
      <c r="L4" s="7">
        <v>45558</v>
      </c>
      <c r="M4" s="8">
        <v>45590</v>
      </c>
      <c r="N4" s="9">
        <v>56</v>
      </c>
      <c r="O4" s="9">
        <v>32</v>
      </c>
      <c r="P4" s="10">
        <v>0.25</v>
      </c>
      <c r="Q4" s="10">
        <v>0.5714285714285714</v>
      </c>
      <c r="R4" s="10">
        <v>0.3</v>
      </c>
      <c r="S4" s="10">
        <v>0.83333333333333337</v>
      </c>
    </row>
    <row r="5" spans="1:19" x14ac:dyDescent="0.25">
      <c r="A5" s="1" t="s">
        <v>26</v>
      </c>
      <c r="B5" s="6" t="s">
        <v>27</v>
      </c>
      <c r="C5" s="1" t="s">
        <v>24</v>
      </c>
      <c r="D5" s="1" t="s">
        <v>7</v>
      </c>
      <c r="E5" s="1" t="s">
        <v>28</v>
      </c>
      <c r="F5" s="1">
        <v>200</v>
      </c>
      <c r="G5" s="1">
        <v>50</v>
      </c>
      <c r="H5" s="1">
        <v>30</v>
      </c>
      <c r="I5" s="1">
        <v>10</v>
      </c>
      <c r="J5" s="1">
        <v>9</v>
      </c>
      <c r="K5" s="7">
        <v>45309</v>
      </c>
      <c r="L5" s="7">
        <v>45310</v>
      </c>
      <c r="M5" s="8">
        <v>45318</v>
      </c>
      <c r="N5" s="9">
        <v>9</v>
      </c>
      <c r="O5" s="9">
        <v>8</v>
      </c>
      <c r="P5" s="10">
        <v>0.25</v>
      </c>
      <c r="Q5" s="10">
        <v>0.6</v>
      </c>
      <c r="R5" s="10">
        <v>0.33333333333333331</v>
      </c>
      <c r="S5" s="10">
        <v>0.9</v>
      </c>
    </row>
    <row r="6" spans="1:19" x14ac:dyDescent="0.25">
      <c r="A6" s="1" t="s">
        <v>29</v>
      </c>
      <c r="B6" s="6" t="s">
        <v>30</v>
      </c>
      <c r="C6" s="1" t="s">
        <v>31</v>
      </c>
      <c r="D6" s="1" t="s">
        <v>32</v>
      </c>
      <c r="E6" s="1" t="s">
        <v>21</v>
      </c>
      <c r="F6" s="1">
        <v>180</v>
      </c>
      <c r="G6" s="1">
        <v>40</v>
      </c>
      <c r="H6" s="1">
        <v>22</v>
      </c>
      <c r="I6" s="1">
        <v>6</v>
      </c>
      <c r="J6" s="1">
        <v>4</v>
      </c>
      <c r="K6" s="7">
        <v>45347</v>
      </c>
      <c r="L6" s="7">
        <v>45425</v>
      </c>
      <c r="M6" s="8">
        <v>45455</v>
      </c>
      <c r="N6" s="9">
        <v>108</v>
      </c>
      <c r="O6" s="9">
        <v>30</v>
      </c>
      <c r="P6" s="10">
        <v>0.22222222222222221</v>
      </c>
      <c r="Q6" s="10">
        <v>0.55000000000000004</v>
      </c>
      <c r="R6" s="10">
        <v>0.27272727272727271</v>
      </c>
      <c r="S6" s="10">
        <v>0.66666666666666663</v>
      </c>
    </row>
    <row r="7" spans="1:19" x14ac:dyDescent="0.25">
      <c r="A7" s="1" t="s">
        <v>33</v>
      </c>
      <c r="B7" s="6" t="s">
        <v>34</v>
      </c>
      <c r="C7" s="1" t="s">
        <v>31</v>
      </c>
      <c r="D7" s="1" t="s">
        <v>20</v>
      </c>
      <c r="E7" s="1" t="s">
        <v>35</v>
      </c>
      <c r="F7" s="1">
        <v>60</v>
      </c>
      <c r="G7" s="1">
        <v>18</v>
      </c>
      <c r="H7" s="1">
        <v>12</v>
      </c>
      <c r="I7" s="1">
        <v>5</v>
      </c>
      <c r="J7" s="1">
        <v>4</v>
      </c>
      <c r="K7" s="7">
        <v>45800</v>
      </c>
      <c r="L7" s="7">
        <v>45809</v>
      </c>
      <c r="M7" s="8">
        <v>45855</v>
      </c>
      <c r="N7" s="9">
        <v>55</v>
      </c>
      <c r="O7" s="9">
        <v>46</v>
      </c>
      <c r="P7" s="10">
        <v>0.3</v>
      </c>
      <c r="Q7" s="10">
        <v>0.66666666666666696</v>
      </c>
      <c r="R7" s="10">
        <v>0.41666666666666669</v>
      </c>
      <c r="S7" s="10">
        <v>0.8</v>
      </c>
    </row>
    <row r="8" spans="1:19" x14ac:dyDescent="0.25">
      <c r="A8" s="1" t="s">
        <v>36</v>
      </c>
      <c r="B8" s="6" t="s">
        <v>37</v>
      </c>
      <c r="C8" s="1" t="s">
        <v>38</v>
      </c>
      <c r="D8" s="1" t="s">
        <v>25</v>
      </c>
      <c r="E8" s="1" t="s">
        <v>9</v>
      </c>
      <c r="F8" s="1">
        <v>130</v>
      </c>
      <c r="G8" s="1">
        <v>32</v>
      </c>
      <c r="H8" s="1">
        <v>19</v>
      </c>
      <c r="I8" s="1">
        <v>5</v>
      </c>
      <c r="J8" s="1">
        <v>4</v>
      </c>
      <c r="K8" s="7">
        <v>45461</v>
      </c>
      <c r="L8" s="7">
        <v>45463</v>
      </c>
      <c r="M8" s="8">
        <v>45559</v>
      </c>
      <c r="N8" s="9">
        <v>98</v>
      </c>
      <c r="O8" s="9">
        <v>96</v>
      </c>
      <c r="P8" s="10">
        <v>0.24615384615384617</v>
      </c>
      <c r="Q8" s="10">
        <v>0.59375</v>
      </c>
      <c r="R8" s="10">
        <v>0.26315789473684209</v>
      </c>
      <c r="S8" s="10">
        <v>0.8</v>
      </c>
    </row>
    <row r="9" spans="1:19" x14ac:dyDescent="0.25">
      <c r="A9" s="1" t="s">
        <v>39</v>
      </c>
      <c r="B9" s="6" t="s">
        <v>40</v>
      </c>
      <c r="C9" s="1" t="s">
        <v>38</v>
      </c>
      <c r="D9" s="1" t="s">
        <v>7</v>
      </c>
      <c r="E9" s="1" t="s">
        <v>35</v>
      </c>
      <c r="F9" s="1">
        <v>70</v>
      </c>
      <c r="G9" s="1">
        <v>21</v>
      </c>
      <c r="H9" s="1">
        <v>14</v>
      </c>
      <c r="I9" s="1">
        <v>6</v>
      </c>
      <c r="J9" s="1">
        <v>5</v>
      </c>
      <c r="K9" s="7">
        <v>45691</v>
      </c>
      <c r="L9" s="7">
        <v>45700</v>
      </c>
      <c r="M9" s="8">
        <v>45708</v>
      </c>
      <c r="N9" s="9">
        <v>17</v>
      </c>
      <c r="O9" s="9">
        <v>8</v>
      </c>
      <c r="P9" s="10">
        <v>0.3</v>
      </c>
      <c r="Q9" s="10">
        <v>0.66666666666666663</v>
      </c>
      <c r="R9" s="10">
        <v>0.42857142857142855</v>
      </c>
      <c r="S9" s="10">
        <v>0.83333333333333337</v>
      </c>
    </row>
    <row r="10" spans="1:19" x14ac:dyDescent="0.25">
      <c r="A10" s="1" t="s">
        <v>41</v>
      </c>
      <c r="B10" s="6" t="s">
        <v>42</v>
      </c>
      <c r="C10" s="1" t="s">
        <v>43</v>
      </c>
      <c r="D10" s="1" t="s">
        <v>32</v>
      </c>
      <c r="E10" s="1" t="s">
        <v>9</v>
      </c>
      <c r="F10" s="1">
        <v>90</v>
      </c>
      <c r="G10" s="1">
        <v>22</v>
      </c>
      <c r="H10" s="1">
        <v>13</v>
      </c>
      <c r="I10" s="1">
        <v>4</v>
      </c>
      <c r="J10" s="1">
        <v>3</v>
      </c>
      <c r="K10" s="7">
        <v>45721</v>
      </c>
      <c r="L10" s="7">
        <v>45723</v>
      </c>
      <c r="M10" s="8">
        <v>45725</v>
      </c>
      <c r="N10" s="9">
        <v>4</v>
      </c>
      <c r="O10" s="9">
        <v>2</v>
      </c>
      <c r="P10" s="10">
        <v>0.24444444444444444</v>
      </c>
      <c r="Q10" s="10">
        <v>0.59090909090909094</v>
      </c>
      <c r="R10" s="10">
        <v>0.30769230769230771</v>
      </c>
      <c r="S10" s="10">
        <v>0.75</v>
      </c>
    </row>
    <row r="11" spans="1:19" x14ac:dyDescent="0.25">
      <c r="A11" s="1" t="s">
        <v>44</v>
      </c>
      <c r="B11" s="6" t="s">
        <v>45</v>
      </c>
      <c r="C11" s="1" t="s">
        <v>43</v>
      </c>
      <c r="D11" s="1" t="s">
        <v>20</v>
      </c>
      <c r="E11" s="1" t="s">
        <v>21</v>
      </c>
      <c r="F11" s="1">
        <v>110</v>
      </c>
      <c r="G11" s="1">
        <v>28</v>
      </c>
      <c r="H11" s="1">
        <v>16</v>
      </c>
      <c r="I11" s="1">
        <v>5</v>
      </c>
      <c r="J11" s="1">
        <v>4</v>
      </c>
      <c r="K11" s="7">
        <v>45958</v>
      </c>
      <c r="L11" s="7">
        <v>46078</v>
      </c>
      <c r="M11" s="8">
        <v>46080</v>
      </c>
      <c r="N11" s="9">
        <v>122</v>
      </c>
      <c r="O11" s="9">
        <v>2</v>
      </c>
      <c r="P11" s="10">
        <v>0.25454545454545452</v>
      </c>
      <c r="Q11" s="10">
        <v>0.5714285714285714</v>
      </c>
      <c r="R11" s="10">
        <v>0.3125</v>
      </c>
      <c r="S11" s="10">
        <v>0.8</v>
      </c>
    </row>
    <row r="12" spans="1:19" x14ac:dyDescent="0.25">
      <c r="A12" s="1" t="s">
        <v>46</v>
      </c>
      <c r="B12" s="6" t="s">
        <v>47</v>
      </c>
      <c r="C12" s="1" t="s">
        <v>48</v>
      </c>
      <c r="D12" s="1" t="s">
        <v>25</v>
      </c>
      <c r="E12" s="1" t="s">
        <v>9</v>
      </c>
      <c r="F12" s="1">
        <v>160</v>
      </c>
      <c r="G12" s="1">
        <v>35</v>
      </c>
      <c r="H12" s="1">
        <v>20</v>
      </c>
      <c r="I12" s="1">
        <v>5</v>
      </c>
      <c r="J12" s="1">
        <v>3</v>
      </c>
      <c r="K12" s="7">
        <v>45900</v>
      </c>
      <c r="L12" s="7">
        <v>45929</v>
      </c>
      <c r="M12" s="8">
        <v>45951</v>
      </c>
      <c r="N12" s="9">
        <v>51</v>
      </c>
      <c r="O12" s="9">
        <v>22</v>
      </c>
      <c r="P12" s="10">
        <v>0.21875</v>
      </c>
      <c r="Q12" s="10">
        <v>0.5714285714285714</v>
      </c>
      <c r="R12" s="10">
        <v>0.25</v>
      </c>
      <c r="S12" s="10">
        <v>0.6</v>
      </c>
    </row>
    <row r="13" spans="1:19" x14ac:dyDescent="0.25">
      <c r="A13" s="1" t="s">
        <v>49</v>
      </c>
      <c r="B13" s="6" t="s">
        <v>50</v>
      </c>
      <c r="C13" s="1" t="s">
        <v>48</v>
      </c>
      <c r="D13" s="1" t="s">
        <v>7</v>
      </c>
      <c r="E13" s="1" t="s">
        <v>35</v>
      </c>
      <c r="F13" s="1">
        <v>75</v>
      </c>
      <c r="G13" s="1">
        <v>23</v>
      </c>
      <c r="H13" s="1">
        <v>15</v>
      </c>
      <c r="I13" s="1">
        <v>6</v>
      </c>
      <c r="J13" s="1">
        <v>5</v>
      </c>
      <c r="K13" s="7">
        <v>45869</v>
      </c>
      <c r="L13" s="7">
        <v>45876</v>
      </c>
      <c r="M13" s="8">
        <v>45886</v>
      </c>
      <c r="N13" s="9">
        <v>17</v>
      </c>
      <c r="O13" s="9">
        <v>10</v>
      </c>
      <c r="P13" s="10">
        <v>0.30666666666666664</v>
      </c>
      <c r="Q13" s="10">
        <v>0.65217391304347827</v>
      </c>
      <c r="R13" s="10">
        <v>0.4</v>
      </c>
      <c r="S13" s="10">
        <v>0.83333333333333337</v>
      </c>
    </row>
    <row r="14" spans="1:19" x14ac:dyDescent="0.25">
      <c r="A14" s="1" t="s">
        <v>51</v>
      </c>
      <c r="B14" s="6" t="s">
        <v>52</v>
      </c>
      <c r="C14" s="1" t="s">
        <v>48</v>
      </c>
      <c r="D14" s="1" t="s">
        <v>32</v>
      </c>
      <c r="E14" s="1" t="s">
        <v>9</v>
      </c>
      <c r="F14" s="1">
        <v>145</v>
      </c>
      <c r="G14" s="1">
        <v>33</v>
      </c>
      <c r="H14" s="1">
        <v>18</v>
      </c>
      <c r="I14" s="1">
        <v>4</v>
      </c>
      <c r="J14" s="1">
        <v>3</v>
      </c>
      <c r="K14" s="7">
        <v>45468</v>
      </c>
      <c r="L14" s="7">
        <v>45472</v>
      </c>
      <c r="M14" s="8">
        <v>45561</v>
      </c>
      <c r="N14" s="9">
        <v>93</v>
      </c>
      <c r="O14" s="9">
        <v>89</v>
      </c>
      <c r="P14" s="10">
        <v>0.22758620689655173</v>
      </c>
      <c r="Q14" s="10">
        <v>0.54545454545454541</v>
      </c>
      <c r="R14" s="10">
        <v>0.22222222222222221</v>
      </c>
      <c r="S14" s="10">
        <v>0.75</v>
      </c>
    </row>
    <row r="15" spans="1:19" x14ac:dyDescent="0.25">
      <c r="A15" s="1" t="s">
        <v>53</v>
      </c>
      <c r="B15" s="6" t="s">
        <v>54</v>
      </c>
      <c r="C15" s="1" t="s">
        <v>48</v>
      </c>
      <c r="D15" s="1" t="s">
        <v>20</v>
      </c>
      <c r="E15" s="1" t="s">
        <v>21</v>
      </c>
      <c r="F15" s="1">
        <v>100</v>
      </c>
      <c r="G15" s="1">
        <v>25</v>
      </c>
      <c r="H15" s="1">
        <v>15</v>
      </c>
      <c r="I15" s="1">
        <v>5</v>
      </c>
      <c r="J15" s="1">
        <v>4</v>
      </c>
      <c r="K15" s="7">
        <v>45834</v>
      </c>
      <c r="L15" s="7">
        <v>45892</v>
      </c>
      <c r="M15" s="8">
        <v>45951</v>
      </c>
      <c r="N15" s="9">
        <v>117</v>
      </c>
      <c r="O15" s="9">
        <v>59</v>
      </c>
      <c r="P15" s="10">
        <v>0.25</v>
      </c>
      <c r="Q15" s="10">
        <v>0.6</v>
      </c>
      <c r="R15" s="10">
        <v>0.33333333333333331</v>
      </c>
      <c r="S15" s="10">
        <v>0.8</v>
      </c>
    </row>
    <row r="16" spans="1:19" x14ac:dyDescent="0.25">
      <c r="A16" s="1" t="s">
        <v>55</v>
      </c>
      <c r="B16" s="6" t="s">
        <v>56</v>
      </c>
      <c r="C16" s="1" t="s">
        <v>57</v>
      </c>
      <c r="D16" s="1" t="s">
        <v>7</v>
      </c>
      <c r="E16" s="1" t="s">
        <v>9</v>
      </c>
      <c r="F16" s="1">
        <v>125</v>
      </c>
      <c r="G16" s="1">
        <v>30</v>
      </c>
      <c r="H16" s="1">
        <v>18</v>
      </c>
      <c r="I16" s="1">
        <v>5</v>
      </c>
      <c r="J16" s="1">
        <v>4</v>
      </c>
      <c r="K16" s="7">
        <v>45378</v>
      </c>
      <c r="L16" s="7">
        <v>45409</v>
      </c>
      <c r="M16" s="8">
        <v>45467</v>
      </c>
      <c r="N16" s="9">
        <v>89</v>
      </c>
      <c r="O16" s="9">
        <v>58</v>
      </c>
      <c r="P16" s="10">
        <v>0.24</v>
      </c>
      <c r="Q16" s="10">
        <v>0.6</v>
      </c>
      <c r="R16" s="10">
        <v>0.27777777777777779</v>
      </c>
      <c r="S16" s="10">
        <v>0.8</v>
      </c>
    </row>
    <row r="17" spans="1:19" x14ac:dyDescent="0.25">
      <c r="A17" s="1" t="s">
        <v>58</v>
      </c>
      <c r="B17" s="6" t="s">
        <v>59</v>
      </c>
      <c r="C17" s="1" t="s">
        <v>57</v>
      </c>
      <c r="D17" s="1" t="s">
        <v>25</v>
      </c>
      <c r="E17" s="1" t="s">
        <v>35</v>
      </c>
      <c r="F17" s="1">
        <v>55</v>
      </c>
      <c r="G17" s="1">
        <v>17</v>
      </c>
      <c r="H17" s="1">
        <v>12</v>
      </c>
      <c r="I17" s="1">
        <v>5</v>
      </c>
      <c r="J17" s="1">
        <v>4</v>
      </c>
      <c r="K17" s="7">
        <v>45599</v>
      </c>
      <c r="L17" s="7">
        <v>45686</v>
      </c>
      <c r="M17" s="8">
        <v>45696</v>
      </c>
      <c r="N17" s="9">
        <v>97</v>
      </c>
      <c r="O17" s="9">
        <v>10</v>
      </c>
      <c r="P17" s="10">
        <v>0.30909090909090908</v>
      </c>
      <c r="Q17" s="10">
        <v>0.70588235294117652</v>
      </c>
      <c r="R17" s="10">
        <v>0.41666666666666669</v>
      </c>
      <c r="S17" s="10">
        <v>0.8</v>
      </c>
    </row>
    <row r="18" spans="1:19" x14ac:dyDescent="0.25">
      <c r="A18" s="1" t="s">
        <v>60</v>
      </c>
      <c r="B18" s="6" t="s">
        <v>61</v>
      </c>
      <c r="C18" s="1" t="s">
        <v>62</v>
      </c>
      <c r="D18" s="1" t="s">
        <v>32</v>
      </c>
      <c r="E18" s="1" t="s">
        <v>9</v>
      </c>
      <c r="F18" s="1">
        <v>85</v>
      </c>
      <c r="G18" s="1">
        <v>21</v>
      </c>
      <c r="H18" s="1">
        <v>13</v>
      </c>
      <c r="I18" s="1">
        <v>4</v>
      </c>
      <c r="J18" s="1">
        <v>3</v>
      </c>
      <c r="K18" s="7">
        <v>45446</v>
      </c>
      <c r="L18" s="7">
        <v>45514</v>
      </c>
      <c r="M18" s="8">
        <v>45556</v>
      </c>
      <c r="N18" s="9">
        <v>110</v>
      </c>
      <c r="O18" s="9">
        <v>42</v>
      </c>
      <c r="P18" s="10">
        <v>0.24705882352941178</v>
      </c>
      <c r="Q18" s="10">
        <v>0.61904761904761907</v>
      </c>
      <c r="R18" s="10">
        <v>0.30769230769230771</v>
      </c>
      <c r="S18" s="10">
        <v>0.75</v>
      </c>
    </row>
    <row r="19" spans="1:19" x14ac:dyDescent="0.25">
      <c r="A19" s="1" t="s">
        <v>63</v>
      </c>
      <c r="B19" s="6" t="s">
        <v>64</v>
      </c>
      <c r="C19" s="1" t="s">
        <v>62</v>
      </c>
      <c r="D19" s="1" t="s">
        <v>20</v>
      </c>
      <c r="E19" s="1" t="s">
        <v>21</v>
      </c>
      <c r="F19" s="1">
        <v>105</v>
      </c>
      <c r="G19" s="1">
        <v>26</v>
      </c>
      <c r="H19" s="1">
        <v>16</v>
      </c>
      <c r="I19" s="1">
        <v>5</v>
      </c>
      <c r="J19" s="1">
        <v>4</v>
      </c>
      <c r="K19" s="7">
        <v>45632</v>
      </c>
      <c r="L19" s="7">
        <v>45670</v>
      </c>
      <c r="M19" s="8">
        <v>45703</v>
      </c>
      <c r="N19" s="9">
        <v>71</v>
      </c>
      <c r="O19" s="9">
        <v>33</v>
      </c>
      <c r="P19" s="10">
        <v>0.24761904761904763</v>
      </c>
      <c r="Q19" s="10">
        <v>0.61538461538461542</v>
      </c>
      <c r="R19" s="10">
        <v>0.3125</v>
      </c>
      <c r="S19" s="10">
        <v>0.8</v>
      </c>
    </row>
    <row r="20" spans="1:19" x14ac:dyDescent="0.25">
      <c r="A20" s="1" t="s">
        <v>65</v>
      </c>
      <c r="B20" s="6" t="s">
        <v>66</v>
      </c>
      <c r="C20" s="1" t="s">
        <v>67</v>
      </c>
      <c r="D20" s="1" t="s">
        <v>25</v>
      </c>
      <c r="E20" s="1" t="s">
        <v>68</v>
      </c>
      <c r="F20" s="1">
        <v>220</v>
      </c>
      <c r="G20" s="1">
        <v>55</v>
      </c>
      <c r="H20" s="1">
        <v>32</v>
      </c>
      <c r="I20" s="1">
        <v>10</v>
      </c>
      <c r="J20" s="1">
        <v>8</v>
      </c>
      <c r="K20" s="7">
        <v>45746</v>
      </c>
      <c r="L20" s="7">
        <v>45782</v>
      </c>
      <c r="M20" s="8">
        <v>45794</v>
      </c>
      <c r="N20" s="9">
        <v>48</v>
      </c>
      <c r="O20" s="9">
        <v>12</v>
      </c>
      <c r="P20" s="10">
        <v>0.25</v>
      </c>
      <c r="Q20" s="10">
        <v>0.58181818181818179</v>
      </c>
      <c r="R20" s="10">
        <v>0.3125</v>
      </c>
      <c r="S20" s="10">
        <v>0.8</v>
      </c>
    </row>
    <row r="21" spans="1:19" x14ac:dyDescent="0.25">
      <c r="A21" s="1" t="s">
        <v>69</v>
      </c>
      <c r="B21" s="6" t="s">
        <v>70</v>
      </c>
      <c r="C21" s="1" t="s">
        <v>67</v>
      </c>
      <c r="D21" s="1" t="s">
        <v>7</v>
      </c>
      <c r="E21" s="1" t="s">
        <v>35</v>
      </c>
      <c r="F21" s="1">
        <v>65</v>
      </c>
      <c r="G21" s="1">
        <v>20</v>
      </c>
      <c r="H21" s="1">
        <v>14</v>
      </c>
      <c r="I21" s="1">
        <v>6</v>
      </c>
      <c r="J21" s="1">
        <v>5</v>
      </c>
      <c r="K21" s="7">
        <v>45530</v>
      </c>
      <c r="L21" s="7">
        <v>45551</v>
      </c>
      <c r="M21" s="8">
        <v>45557</v>
      </c>
      <c r="N21" s="9">
        <v>27</v>
      </c>
      <c r="O21" s="9">
        <v>6</v>
      </c>
      <c r="P21" s="10">
        <v>0.30769230769230771</v>
      </c>
      <c r="Q21" s="10">
        <v>0.7</v>
      </c>
      <c r="R21" s="10">
        <v>0.42857142857142855</v>
      </c>
      <c r="S21" s="10">
        <v>0.83333333333333337</v>
      </c>
    </row>
    <row r="22" spans="1:19" x14ac:dyDescent="0.25">
      <c r="A22" s="1" t="s">
        <v>71</v>
      </c>
      <c r="B22" s="6" t="s">
        <v>72</v>
      </c>
      <c r="C22" s="1" t="s">
        <v>5</v>
      </c>
      <c r="D22" s="1" t="s">
        <v>32</v>
      </c>
      <c r="E22" s="1" t="s">
        <v>9</v>
      </c>
      <c r="F22" s="1">
        <v>130</v>
      </c>
      <c r="G22" s="1">
        <v>28</v>
      </c>
      <c r="H22" s="1">
        <v>16</v>
      </c>
      <c r="I22" s="1">
        <v>4</v>
      </c>
      <c r="J22" s="1">
        <v>3</v>
      </c>
      <c r="K22" s="7">
        <v>45820</v>
      </c>
      <c r="L22" s="7">
        <v>45823</v>
      </c>
      <c r="M22" s="8">
        <v>45845</v>
      </c>
      <c r="N22" s="9">
        <v>25</v>
      </c>
      <c r="O22" s="9">
        <v>22</v>
      </c>
      <c r="P22" s="10">
        <v>0.2153846153846154</v>
      </c>
      <c r="Q22" s="10">
        <v>0.5714285714285714</v>
      </c>
      <c r="R22" s="10">
        <v>0.25</v>
      </c>
      <c r="S22" s="10">
        <v>0.75</v>
      </c>
    </row>
    <row r="23" spans="1:19" x14ac:dyDescent="0.25">
      <c r="A23" s="1" t="s">
        <v>73</v>
      </c>
      <c r="B23" s="6" t="s">
        <v>74</v>
      </c>
      <c r="C23" s="1" t="s">
        <v>5</v>
      </c>
      <c r="D23" s="1" t="s">
        <v>20</v>
      </c>
      <c r="E23" s="1" t="s">
        <v>21</v>
      </c>
      <c r="F23" s="1">
        <v>115</v>
      </c>
      <c r="G23" s="1">
        <v>27</v>
      </c>
      <c r="H23" s="1">
        <v>16</v>
      </c>
      <c r="I23" s="1">
        <v>5</v>
      </c>
      <c r="J23" s="1">
        <v>4</v>
      </c>
      <c r="K23" s="7">
        <v>45769</v>
      </c>
      <c r="L23" s="7">
        <v>45831</v>
      </c>
      <c r="M23" s="8">
        <v>45852</v>
      </c>
      <c r="N23" s="9">
        <v>83</v>
      </c>
      <c r="O23" s="9">
        <v>21</v>
      </c>
      <c r="P23" s="10">
        <v>0.23478260869565218</v>
      </c>
      <c r="Q23" s="10">
        <v>0.59259259259259256</v>
      </c>
      <c r="R23" s="10">
        <v>0.3125</v>
      </c>
      <c r="S23" s="10">
        <v>0.8</v>
      </c>
    </row>
    <row r="24" spans="1:19" x14ac:dyDescent="0.25">
      <c r="A24" s="1" t="s">
        <v>75</v>
      </c>
      <c r="B24" s="6" t="s">
        <v>76</v>
      </c>
      <c r="C24" s="1" t="s">
        <v>24</v>
      </c>
      <c r="D24" s="1" t="s">
        <v>7</v>
      </c>
      <c r="E24" s="1" t="s">
        <v>9</v>
      </c>
      <c r="F24" s="1">
        <v>100</v>
      </c>
      <c r="G24" s="1">
        <v>25</v>
      </c>
      <c r="H24" s="1">
        <v>15</v>
      </c>
      <c r="I24" s="1">
        <v>5</v>
      </c>
      <c r="J24" s="1">
        <v>4</v>
      </c>
      <c r="K24" s="7">
        <v>45420</v>
      </c>
      <c r="L24" s="7">
        <v>45460</v>
      </c>
      <c r="M24" s="8">
        <v>45486</v>
      </c>
      <c r="N24" s="9">
        <v>66</v>
      </c>
      <c r="O24" s="9">
        <v>26</v>
      </c>
      <c r="P24" s="10">
        <v>0.25</v>
      </c>
      <c r="Q24" s="10">
        <v>0.6</v>
      </c>
      <c r="R24" s="10">
        <v>0.33333333333333331</v>
      </c>
      <c r="S24" s="10">
        <v>0.8</v>
      </c>
    </row>
    <row r="25" spans="1:19" x14ac:dyDescent="0.25">
      <c r="A25" s="1" t="s">
        <v>77</v>
      </c>
      <c r="B25" s="6" t="s">
        <v>78</v>
      </c>
      <c r="C25" s="1" t="s">
        <v>24</v>
      </c>
      <c r="D25" s="1" t="s">
        <v>25</v>
      </c>
      <c r="E25" s="1" t="s">
        <v>35</v>
      </c>
      <c r="F25" s="1">
        <v>60</v>
      </c>
      <c r="G25" s="1">
        <v>18</v>
      </c>
      <c r="H25" s="1">
        <v>12</v>
      </c>
      <c r="I25" s="1">
        <v>5</v>
      </c>
      <c r="J25" s="1">
        <v>4</v>
      </c>
      <c r="K25" s="7">
        <v>45770</v>
      </c>
      <c r="L25" s="7">
        <v>45781</v>
      </c>
      <c r="M25" s="8">
        <v>45843</v>
      </c>
      <c r="N25" s="9">
        <v>73</v>
      </c>
      <c r="O25" s="9">
        <v>62</v>
      </c>
      <c r="P25" s="10">
        <v>0.3</v>
      </c>
      <c r="Q25" s="10">
        <v>0.66666666666666663</v>
      </c>
      <c r="R25" s="10">
        <v>0.41666666666666669</v>
      </c>
      <c r="S25" s="10">
        <v>0.8</v>
      </c>
    </row>
    <row r="26" spans="1:19" x14ac:dyDescent="0.25">
      <c r="A26" s="1" t="s">
        <v>79</v>
      </c>
      <c r="B26" s="6" t="s">
        <v>80</v>
      </c>
      <c r="C26" s="1" t="s">
        <v>81</v>
      </c>
      <c r="D26" s="1" t="s">
        <v>32</v>
      </c>
      <c r="E26" s="1" t="s">
        <v>68</v>
      </c>
      <c r="F26" s="1">
        <v>150</v>
      </c>
      <c r="G26" s="1">
        <v>35</v>
      </c>
      <c r="H26" s="1">
        <v>20</v>
      </c>
      <c r="I26" s="1">
        <v>6</v>
      </c>
      <c r="J26" s="1">
        <v>5</v>
      </c>
      <c r="K26" s="7">
        <v>45367</v>
      </c>
      <c r="L26" s="7">
        <v>45412</v>
      </c>
      <c r="M26" s="8">
        <v>45417</v>
      </c>
      <c r="N26" s="9">
        <v>50</v>
      </c>
      <c r="O26" s="9">
        <v>5</v>
      </c>
      <c r="P26" s="10">
        <v>0.23333333333333334</v>
      </c>
      <c r="Q26" s="10">
        <v>0.5714285714285714</v>
      </c>
      <c r="R26" s="10">
        <v>0.3</v>
      </c>
      <c r="S26" s="10">
        <v>0.83333333333333337</v>
      </c>
    </row>
    <row r="27" spans="1:19" x14ac:dyDescent="0.25">
      <c r="A27" s="1" t="s">
        <v>82</v>
      </c>
      <c r="B27" s="6" t="s">
        <v>83</v>
      </c>
      <c r="C27" s="1" t="s">
        <v>5</v>
      </c>
      <c r="D27" s="1" t="s">
        <v>7</v>
      </c>
      <c r="E27" s="1" t="s">
        <v>9</v>
      </c>
      <c r="F27" s="1">
        <v>140</v>
      </c>
      <c r="G27" s="1">
        <v>30</v>
      </c>
      <c r="H27" s="1">
        <v>18</v>
      </c>
      <c r="I27" s="1">
        <v>5</v>
      </c>
      <c r="J27" s="1">
        <v>4</v>
      </c>
      <c r="K27" s="7">
        <v>45584</v>
      </c>
      <c r="L27" s="7">
        <v>45607</v>
      </c>
      <c r="M27" s="8">
        <v>45673</v>
      </c>
      <c r="N27" s="9">
        <v>89</v>
      </c>
      <c r="O27" s="9">
        <v>66</v>
      </c>
      <c r="P27" s="10">
        <v>0.21428571428571427</v>
      </c>
      <c r="Q27" s="10">
        <v>0.6</v>
      </c>
      <c r="R27" s="10">
        <v>0.27777777777777779</v>
      </c>
      <c r="S27" s="10">
        <v>0.8</v>
      </c>
    </row>
    <row r="28" spans="1:19" x14ac:dyDescent="0.25">
      <c r="A28" s="1" t="s">
        <v>84</v>
      </c>
      <c r="B28" s="6" t="s">
        <v>85</v>
      </c>
      <c r="C28" s="1" t="s">
        <v>5</v>
      </c>
      <c r="D28" s="1" t="s">
        <v>20</v>
      </c>
      <c r="E28" s="1" t="s">
        <v>28</v>
      </c>
      <c r="F28" s="1">
        <v>180</v>
      </c>
      <c r="G28" s="1">
        <v>45</v>
      </c>
      <c r="H28" s="1">
        <v>28</v>
      </c>
      <c r="I28" s="1">
        <v>9</v>
      </c>
      <c r="J28" s="1">
        <v>8</v>
      </c>
      <c r="K28" s="7">
        <v>45860</v>
      </c>
      <c r="L28" s="7">
        <v>45886</v>
      </c>
      <c r="M28" s="8">
        <v>45951</v>
      </c>
      <c r="N28" s="9">
        <v>91</v>
      </c>
      <c r="O28" s="9">
        <v>65</v>
      </c>
      <c r="P28" s="10">
        <v>0.25</v>
      </c>
      <c r="Q28" s="10">
        <v>0.62222222222222223</v>
      </c>
      <c r="R28" s="10">
        <v>0.32142857142857145</v>
      </c>
      <c r="S28" s="10">
        <v>0.88888888888888884</v>
      </c>
    </row>
    <row r="29" spans="1:19" x14ac:dyDescent="0.25">
      <c r="A29" s="1" t="s">
        <v>86</v>
      </c>
      <c r="B29" s="6" t="s">
        <v>87</v>
      </c>
      <c r="C29" s="1" t="s">
        <v>24</v>
      </c>
      <c r="D29" s="1" t="s">
        <v>25</v>
      </c>
      <c r="E29" s="1" t="s">
        <v>35</v>
      </c>
      <c r="F29" s="1">
        <v>55</v>
      </c>
      <c r="G29" s="1">
        <v>17</v>
      </c>
      <c r="H29" s="1">
        <v>12</v>
      </c>
      <c r="I29" s="1">
        <v>5</v>
      </c>
      <c r="J29" s="1">
        <v>4</v>
      </c>
      <c r="K29" s="7">
        <v>45782</v>
      </c>
      <c r="L29" s="7">
        <v>45814</v>
      </c>
      <c r="M29" s="8">
        <v>45857</v>
      </c>
      <c r="N29" s="9">
        <v>75</v>
      </c>
      <c r="O29" s="9">
        <v>43</v>
      </c>
      <c r="P29" s="10">
        <v>0.30909090909090908</v>
      </c>
      <c r="Q29" s="10">
        <v>0.70588235294117652</v>
      </c>
      <c r="R29" s="10">
        <v>0.41666666666666669</v>
      </c>
      <c r="S29" s="10">
        <v>0.8</v>
      </c>
    </row>
    <row r="30" spans="1:19" x14ac:dyDescent="0.25">
      <c r="A30" s="1" t="s">
        <v>88</v>
      </c>
      <c r="B30" s="6" t="s">
        <v>89</v>
      </c>
      <c r="C30" s="1" t="s">
        <v>24</v>
      </c>
      <c r="D30" s="1" t="s">
        <v>32</v>
      </c>
      <c r="E30" s="1" t="s">
        <v>21</v>
      </c>
      <c r="F30" s="1">
        <v>120</v>
      </c>
      <c r="G30" s="1">
        <v>28</v>
      </c>
      <c r="H30" s="1">
        <v>17</v>
      </c>
      <c r="I30" s="1">
        <v>5</v>
      </c>
      <c r="J30" s="1">
        <v>4</v>
      </c>
      <c r="K30" s="7">
        <v>45805</v>
      </c>
      <c r="L30" s="7">
        <v>45897</v>
      </c>
      <c r="M30" s="8">
        <v>45912</v>
      </c>
      <c r="N30" s="9">
        <v>107</v>
      </c>
      <c r="O30" s="9">
        <v>15</v>
      </c>
      <c r="P30" s="10">
        <v>0.23333333333333334</v>
      </c>
      <c r="Q30" s="10">
        <v>0.6071428571428571</v>
      </c>
      <c r="R30" s="10">
        <v>0.29411764705882354</v>
      </c>
      <c r="S30" s="10">
        <v>0.8</v>
      </c>
    </row>
    <row r="31" spans="1:19" x14ac:dyDescent="0.25">
      <c r="A31" s="1" t="s">
        <v>90</v>
      </c>
      <c r="B31" s="6" t="s">
        <v>91</v>
      </c>
      <c r="C31" s="1" t="s">
        <v>31</v>
      </c>
      <c r="D31" s="1" t="s">
        <v>7</v>
      </c>
      <c r="E31" s="1" t="s">
        <v>28</v>
      </c>
      <c r="F31" s="1">
        <v>250</v>
      </c>
      <c r="G31" s="1">
        <v>60</v>
      </c>
      <c r="H31" s="1">
        <v>35</v>
      </c>
      <c r="I31" s="1">
        <v>12</v>
      </c>
      <c r="J31" s="1">
        <v>10</v>
      </c>
      <c r="K31" s="7">
        <v>45899</v>
      </c>
      <c r="L31" s="7">
        <v>45907</v>
      </c>
      <c r="M31" s="8">
        <v>45932</v>
      </c>
      <c r="N31" s="9">
        <v>33</v>
      </c>
      <c r="O31" s="9">
        <v>25</v>
      </c>
      <c r="P31" s="10">
        <v>0.24</v>
      </c>
      <c r="Q31" s="10">
        <v>0.58333333333333337</v>
      </c>
      <c r="R31" s="10">
        <v>0.34285714285714286</v>
      </c>
      <c r="S31" s="10">
        <v>0.83333333333333337</v>
      </c>
    </row>
    <row r="32" spans="1:19" x14ac:dyDescent="0.25">
      <c r="A32" s="1" t="s">
        <v>92</v>
      </c>
      <c r="B32" s="6" t="s">
        <v>93</v>
      </c>
      <c r="C32" s="1" t="s">
        <v>31</v>
      </c>
      <c r="D32" s="1" t="s">
        <v>20</v>
      </c>
      <c r="E32" s="1" t="s">
        <v>9</v>
      </c>
      <c r="F32" s="1">
        <v>85</v>
      </c>
      <c r="G32" s="1">
        <v>20</v>
      </c>
      <c r="H32" s="1">
        <v>13</v>
      </c>
      <c r="I32" s="1">
        <v>4</v>
      </c>
      <c r="J32" s="1">
        <v>3</v>
      </c>
      <c r="K32" s="7">
        <v>45731</v>
      </c>
      <c r="L32" s="7">
        <v>45752</v>
      </c>
      <c r="M32" s="8">
        <v>45792</v>
      </c>
      <c r="N32" s="9">
        <v>61</v>
      </c>
      <c r="O32" s="9">
        <v>40</v>
      </c>
      <c r="P32" s="10">
        <v>0.23529411764705882</v>
      </c>
      <c r="Q32" s="10">
        <v>0.65</v>
      </c>
      <c r="R32" s="10">
        <v>0.30769230769230771</v>
      </c>
      <c r="S32" s="10">
        <v>0.75</v>
      </c>
    </row>
    <row r="33" spans="1:19" x14ac:dyDescent="0.25">
      <c r="A33" s="1" t="s">
        <v>94</v>
      </c>
      <c r="B33" s="6" t="s">
        <v>95</v>
      </c>
      <c r="C33" s="1" t="s">
        <v>38</v>
      </c>
      <c r="D33" s="1" t="s">
        <v>25</v>
      </c>
      <c r="E33" s="1" t="s">
        <v>9</v>
      </c>
      <c r="F33" s="1">
        <v>110</v>
      </c>
      <c r="G33" s="1">
        <v>26</v>
      </c>
      <c r="H33" s="1">
        <v>16</v>
      </c>
      <c r="I33" s="1">
        <v>5</v>
      </c>
      <c r="J33" s="1">
        <v>4</v>
      </c>
      <c r="K33" s="7">
        <v>45405</v>
      </c>
      <c r="L33" s="7">
        <v>45439</v>
      </c>
      <c r="M33" s="8">
        <v>45477</v>
      </c>
      <c r="N33" s="9">
        <v>72</v>
      </c>
      <c r="O33" s="9">
        <v>38</v>
      </c>
      <c r="P33" s="10">
        <v>0.23636363636363636</v>
      </c>
      <c r="Q33" s="10">
        <v>0.61538461538461542</v>
      </c>
      <c r="R33" s="10">
        <v>0.3125</v>
      </c>
      <c r="S33" s="10">
        <v>0.8</v>
      </c>
    </row>
    <row r="34" spans="1:19" x14ac:dyDescent="0.25">
      <c r="A34" s="1" t="s">
        <v>96</v>
      </c>
      <c r="B34" s="6" t="s">
        <v>97</v>
      </c>
      <c r="C34" s="1" t="s">
        <v>38</v>
      </c>
      <c r="D34" s="1" t="s">
        <v>32</v>
      </c>
      <c r="E34" s="1" t="s">
        <v>35</v>
      </c>
      <c r="F34" s="1">
        <v>65</v>
      </c>
      <c r="G34" s="1">
        <v>19</v>
      </c>
      <c r="H34" s="1">
        <v>13</v>
      </c>
      <c r="I34" s="1">
        <v>6</v>
      </c>
      <c r="J34" s="1">
        <v>5</v>
      </c>
      <c r="K34" s="7">
        <v>45844</v>
      </c>
      <c r="L34" s="7">
        <v>45890</v>
      </c>
      <c r="M34" s="8">
        <v>45905</v>
      </c>
      <c r="N34" s="9">
        <v>61</v>
      </c>
      <c r="O34" s="9">
        <v>15</v>
      </c>
      <c r="P34" s="10">
        <v>0.29230769230769232</v>
      </c>
      <c r="Q34" s="10">
        <v>0.68421052631578949</v>
      </c>
      <c r="R34" s="10">
        <v>0.46153846153846156</v>
      </c>
      <c r="S34" s="10">
        <v>0.83333333333333337</v>
      </c>
    </row>
    <row r="35" spans="1:19" x14ac:dyDescent="0.25">
      <c r="A35" s="1" t="s">
        <v>98</v>
      </c>
      <c r="B35" s="6" t="s">
        <v>99</v>
      </c>
      <c r="C35" s="1" t="s">
        <v>43</v>
      </c>
      <c r="D35" s="1" t="s">
        <v>7</v>
      </c>
      <c r="E35" s="1" t="s">
        <v>35</v>
      </c>
      <c r="F35" s="1">
        <v>45</v>
      </c>
      <c r="G35" s="1">
        <v>14</v>
      </c>
      <c r="H35" s="1">
        <v>10</v>
      </c>
      <c r="I35" s="1">
        <v>4</v>
      </c>
      <c r="J35" s="1">
        <v>3</v>
      </c>
      <c r="K35" s="7">
        <v>45768</v>
      </c>
      <c r="L35" s="7">
        <v>45790</v>
      </c>
      <c r="M35" s="8">
        <v>45802</v>
      </c>
      <c r="N35" s="9">
        <v>34</v>
      </c>
      <c r="O35" s="9">
        <v>12</v>
      </c>
      <c r="P35" s="10">
        <v>0.31111111111111112</v>
      </c>
      <c r="Q35" s="10">
        <v>0.7142857142857143</v>
      </c>
      <c r="R35" s="10">
        <v>0.4</v>
      </c>
      <c r="S35" s="10">
        <v>0.75</v>
      </c>
    </row>
    <row r="36" spans="1:19" x14ac:dyDescent="0.25">
      <c r="A36" s="1" t="s">
        <v>100</v>
      </c>
      <c r="B36" s="6" t="s">
        <v>101</v>
      </c>
      <c r="C36" s="1" t="s">
        <v>43</v>
      </c>
      <c r="D36" s="1" t="s">
        <v>20</v>
      </c>
      <c r="E36" s="1" t="s">
        <v>9</v>
      </c>
      <c r="F36" s="1">
        <v>95</v>
      </c>
      <c r="G36" s="1">
        <v>22</v>
      </c>
      <c r="H36" s="1">
        <v>14</v>
      </c>
      <c r="I36" s="1">
        <v>4</v>
      </c>
      <c r="J36" s="1">
        <v>3</v>
      </c>
      <c r="K36" s="7">
        <v>45824</v>
      </c>
      <c r="L36" s="7">
        <v>45830</v>
      </c>
      <c r="M36" s="8">
        <v>45884</v>
      </c>
      <c r="N36" s="9">
        <v>60</v>
      </c>
      <c r="O36" s="9">
        <v>54</v>
      </c>
      <c r="P36" s="10">
        <v>0.23157894736842105</v>
      </c>
      <c r="Q36" s="10">
        <v>0.63636363636363635</v>
      </c>
      <c r="R36" s="10">
        <v>0.2857142857142857</v>
      </c>
      <c r="S36" s="10">
        <v>0.75</v>
      </c>
    </row>
    <row r="37" spans="1:19" x14ac:dyDescent="0.25">
      <c r="A37" s="1" t="s">
        <v>102</v>
      </c>
      <c r="B37" s="6" t="s">
        <v>103</v>
      </c>
      <c r="C37" s="1" t="s">
        <v>48</v>
      </c>
      <c r="D37" s="1" t="s">
        <v>25</v>
      </c>
      <c r="E37" s="1" t="s">
        <v>9</v>
      </c>
      <c r="F37" s="1">
        <v>125</v>
      </c>
      <c r="G37" s="1">
        <v>28</v>
      </c>
      <c r="H37" s="1">
        <v>16</v>
      </c>
      <c r="I37" s="1">
        <v>4</v>
      </c>
      <c r="J37" s="1">
        <v>3</v>
      </c>
      <c r="K37" s="7">
        <v>45844</v>
      </c>
      <c r="L37" s="7">
        <v>45870</v>
      </c>
      <c r="M37" s="8">
        <v>45923</v>
      </c>
      <c r="N37" s="9">
        <v>79</v>
      </c>
      <c r="O37" s="9">
        <v>53</v>
      </c>
      <c r="P37" s="10">
        <v>0.224</v>
      </c>
      <c r="Q37" s="10">
        <v>0.5714285714285714</v>
      </c>
      <c r="R37" s="10">
        <v>0.25</v>
      </c>
      <c r="S37" s="10">
        <v>0.75</v>
      </c>
    </row>
    <row r="38" spans="1:19" x14ac:dyDescent="0.25">
      <c r="A38" s="1" t="s">
        <v>104</v>
      </c>
      <c r="B38" s="6" t="s">
        <v>105</v>
      </c>
      <c r="C38" s="1" t="s">
        <v>48</v>
      </c>
      <c r="D38" s="1" t="s">
        <v>32</v>
      </c>
      <c r="E38" s="1" t="s">
        <v>35</v>
      </c>
      <c r="F38" s="1">
        <v>60</v>
      </c>
      <c r="G38" s="1">
        <v>18</v>
      </c>
      <c r="H38" s="1">
        <v>13</v>
      </c>
      <c r="I38" s="1">
        <v>6</v>
      </c>
      <c r="J38" s="1">
        <v>5</v>
      </c>
      <c r="K38" s="7">
        <v>45530</v>
      </c>
      <c r="L38" s="7">
        <v>45624</v>
      </c>
      <c r="M38" s="8">
        <v>45641</v>
      </c>
      <c r="N38" s="9">
        <v>111</v>
      </c>
      <c r="O38" s="9">
        <v>17</v>
      </c>
      <c r="P38" s="10">
        <v>0.3</v>
      </c>
      <c r="Q38" s="10">
        <v>0.72222222222222221</v>
      </c>
      <c r="R38" s="10">
        <v>0.46153846153846156</v>
      </c>
      <c r="S38" s="10">
        <v>0.83333333333333337</v>
      </c>
    </row>
    <row r="39" spans="1:19" x14ac:dyDescent="0.25">
      <c r="A39" s="1" t="s">
        <v>106</v>
      </c>
      <c r="B39" s="6" t="s">
        <v>107</v>
      </c>
      <c r="C39" s="1" t="s">
        <v>48</v>
      </c>
      <c r="D39" s="1" t="s">
        <v>7</v>
      </c>
      <c r="E39" s="1" t="s">
        <v>9</v>
      </c>
      <c r="F39" s="1">
        <v>150</v>
      </c>
      <c r="G39" s="1">
        <v>32</v>
      </c>
      <c r="H39" s="1">
        <v>19</v>
      </c>
      <c r="I39" s="1">
        <v>5</v>
      </c>
      <c r="J39" s="1">
        <v>4</v>
      </c>
      <c r="K39" s="7">
        <v>45724</v>
      </c>
      <c r="L39" s="7">
        <v>45724</v>
      </c>
      <c r="M39" s="8">
        <v>45729</v>
      </c>
      <c r="N39" s="9">
        <v>5</v>
      </c>
      <c r="O39" s="9">
        <v>5</v>
      </c>
      <c r="P39" s="10">
        <v>0.21333333333333335</v>
      </c>
      <c r="Q39" s="10">
        <v>0.59375</v>
      </c>
      <c r="R39" s="10">
        <v>0.26315789473684209</v>
      </c>
      <c r="S39" s="10">
        <v>0.8</v>
      </c>
    </row>
    <row r="40" spans="1:19" x14ac:dyDescent="0.25">
      <c r="A40" s="1" t="s">
        <v>108</v>
      </c>
      <c r="B40" s="6" t="s">
        <v>109</v>
      </c>
      <c r="C40" s="1" t="s">
        <v>48</v>
      </c>
      <c r="D40" s="1" t="s">
        <v>20</v>
      </c>
      <c r="E40" s="1" t="s">
        <v>68</v>
      </c>
      <c r="F40" s="1">
        <v>210</v>
      </c>
      <c r="G40" s="1">
        <v>50</v>
      </c>
      <c r="H40" s="1">
        <v>30</v>
      </c>
      <c r="I40" s="1">
        <v>9</v>
      </c>
      <c r="J40" s="1">
        <v>7</v>
      </c>
      <c r="K40" s="7">
        <v>45399</v>
      </c>
      <c r="L40" s="7">
        <v>45407</v>
      </c>
      <c r="M40" s="8">
        <v>45416</v>
      </c>
      <c r="N40" s="9">
        <v>17</v>
      </c>
      <c r="O40" s="9">
        <v>9</v>
      </c>
      <c r="P40" s="10">
        <v>0.23809523809523808</v>
      </c>
      <c r="Q40" s="10">
        <v>0.6</v>
      </c>
      <c r="R40" s="10">
        <v>0.3</v>
      </c>
      <c r="S40" s="10">
        <v>0.77777777777777779</v>
      </c>
    </row>
    <row r="41" spans="1:19" x14ac:dyDescent="0.25">
      <c r="A41" s="1" t="s">
        <v>110</v>
      </c>
      <c r="B41" s="6" t="s">
        <v>111</v>
      </c>
      <c r="C41" s="1" t="s">
        <v>57</v>
      </c>
      <c r="D41" s="1" t="s">
        <v>25</v>
      </c>
      <c r="E41" s="1" t="s">
        <v>21</v>
      </c>
      <c r="F41" s="1">
        <v>130</v>
      </c>
      <c r="G41" s="1">
        <v>30</v>
      </c>
      <c r="H41" s="1">
        <v>18</v>
      </c>
      <c r="I41" s="1">
        <v>5</v>
      </c>
      <c r="J41" s="1">
        <v>4</v>
      </c>
      <c r="K41" s="7">
        <v>45802</v>
      </c>
      <c r="L41" s="7">
        <v>45832</v>
      </c>
      <c r="M41" s="8">
        <v>45860</v>
      </c>
      <c r="N41" s="9">
        <v>58</v>
      </c>
      <c r="O41" s="9">
        <v>28</v>
      </c>
      <c r="P41" s="10">
        <v>0.23076923076923078</v>
      </c>
      <c r="Q41" s="10">
        <v>0.6</v>
      </c>
      <c r="R41" s="10">
        <v>0.27777777777777779</v>
      </c>
      <c r="S41" s="10">
        <v>0.8</v>
      </c>
    </row>
    <row r="42" spans="1:19" x14ac:dyDescent="0.25">
      <c r="A42" s="1" t="s">
        <v>112</v>
      </c>
      <c r="B42" s="6" t="s">
        <v>113</v>
      </c>
      <c r="C42" s="1" t="s">
        <v>57</v>
      </c>
      <c r="D42" s="1" t="s">
        <v>32</v>
      </c>
      <c r="E42" s="1" t="s">
        <v>9</v>
      </c>
      <c r="F42" s="1">
        <v>90</v>
      </c>
      <c r="G42" s="1">
        <v>22</v>
      </c>
      <c r="H42" s="1">
        <v>14</v>
      </c>
      <c r="I42" s="1">
        <v>4</v>
      </c>
      <c r="J42" s="1">
        <v>3</v>
      </c>
      <c r="K42" s="7">
        <v>45590</v>
      </c>
      <c r="L42" s="7">
        <v>45601</v>
      </c>
      <c r="M42" s="8">
        <v>45611</v>
      </c>
      <c r="N42" s="9">
        <v>21</v>
      </c>
      <c r="O42" s="9">
        <v>10</v>
      </c>
      <c r="P42" s="10">
        <v>0.24444444444444444</v>
      </c>
      <c r="Q42" s="10">
        <v>0.63636363636363635</v>
      </c>
      <c r="R42" s="10">
        <v>0.2857142857142857</v>
      </c>
      <c r="S42" s="10">
        <v>0.75</v>
      </c>
    </row>
    <row r="43" spans="1:19" x14ac:dyDescent="0.25">
      <c r="A43" s="1" t="s">
        <v>114</v>
      </c>
      <c r="B43" s="6" t="s">
        <v>115</v>
      </c>
      <c r="C43" s="1" t="s">
        <v>62</v>
      </c>
      <c r="D43" s="1" t="s">
        <v>7</v>
      </c>
      <c r="E43" s="1" t="s">
        <v>21</v>
      </c>
      <c r="F43" s="1">
        <v>115</v>
      </c>
      <c r="G43" s="1">
        <v>27</v>
      </c>
      <c r="H43" s="1">
        <v>16</v>
      </c>
      <c r="I43" s="1">
        <v>5</v>
      </c>
      <c r="J43" s="1">
        <v>4</v>
      </c>
      <c r="K43" s="7">
        <v>45667</v>
      </c>
      <c r="L43" s="7">
        <v>45685</v>
      </c>
      <c r="M43" s="8">
        <v>45742</v>
      </c>
      <c r="N43" s="9">
        <v>75</v>
      </c>
      <c r="O43" s="9">
        <v>57</v>
      </c>
      <c r="P43" s="10">
        <v>0.23478260869565218</v>
      </c>
      <c r="Q43" s="10">
        <v>0.59259259259259256</v>
      </c>
      <c r="R43" s="10">
        <v>0.3125</v>
      </c>
      <c r="S43" s="10">
        <v>0.8</v>
      </c>
    </row>
    <row r="44" spans="1:19" x14ac:dyDescent="0.25">
      <c r="A44" s="1" t="s">
        <v>116</v>
      </c>
      <c r="B44" s="6" t="s">
        <v>117</v>
      </c>
      <c r="C44" s="1" t="s">
        <v>62</v>
      </c>
      <c r="D44" s="1" t="s">
        <v>20</v>
      </c>
      <c r="E44" s="1" t="s">
        <v>68</v>
      </c>
      <c r="F44" s="1">
        <v>190</v>
      </c>
      <c r="G44" s="1">
        <v>45</v>
      </c>
      <c r="H44" s="1">
        <v>26</v>
      </c>
      <c r="I44" s="1">
        <v>8</v>
      </c>
      <c r="J44" s="1">
        <v>6</v>
      </c>
      <c r="K44" s="7">
        <v>45536</v>
      </c>
      <c r="L44" s="7">
        <v>45536</v>
      </c>
      <c r="M44" s="8">
        <v>45643</v>
      </c>
      <c r="N44" s="9">
        <v>107</v>
      </c>
      <c r="O44" s="9">
        <v>107</v>
      </c>
      <c r="P44" s="10">
        <v>0.23684210526315788</v>
      </c>
      <c r="Q44" s="10">
        <v>0.57777777777777772</v>
      </c>
      <c r="R44" s="10">
        <v>0.30769230769230771</v>
      </c>
      <c r="S44" s="10">
        <v>0.75</v>
      </c>
    </row>
    <row r="45" spans="1:19" x14ac:dyDescent="0.25">
      <c r="A45" s="1" t="s">
        <v>118</v>
      </c>
      <c r="B45" s="6" t="s">
        <v>119</v>
      </c>
      <c r="C45" s="1" t="s">
        <v>67</v>
      </c>
      <c r="D45" s="1" t="s">
        <v>25</v>
      </c>
      <c r="E45" s="1" t="s">
        <v>9</v>
      </c>
      <c r="F45" s="1">
        <v>100</v>
      </c>
      <c r="G45" s="1">
        <v>24</v>
      </c>
      <c r="H45" s="1">
        <v>15</v>
      </c>
      <c r="I45" s="1">
        <v>5</v>
      </c>
      <c r="J45" s="1">
        <v>4</v>
      </c>
      <c r="K45" s="7">
        <v>45485</v>
      </c>
      <c r="L45" s="7">
        <v>45519</v>
      </c>
      <c r="M45" s="8">
        <v>45607</v>
      </c>
      <c r="N45" s="9">
        <v>122</v>
      </c>
      <c r="O45" s="9">
        <v>88</v>
      </c>
      <c r="P45" s="10">
        <v>0.24</v>
      </c>
      <c r="Q45" s="10">
        <v>0.625</v>
      </c>
      <c r="R45" s="10">
        <v>0.33333333333333331</v>
      </c>
      <c r="S45" s="10">
        <v>0.8</v>
      </c>
    </row>
    <row r="46" spans="1:19" x14ac:dyDescent="0.25">
      <c r="A46" s="1" t="s">
        <v>120</v>
      </c>
      <c r="B46" s="6" t="s">
        <v>121</v>
      </c>
      <c r="C46" s="1" t="s">
        <v>67</v>
      </c>
      <c r="D46" s="1" t="s">
        <v>32</v>
      </c>
      <c r="E46" s="1" t="s">
        <v>35</v>
      </c>
      <c r="F46" s="1">
        <v>70</v>
      </c>
      <c r="G46" s="1">
        <v>21</v>
      </c>
      <c r="H46" s="1">
        <v>14</v>
      </c>
      <c r="I46" s="1">
        <v>6</v>
      </c>
      <c r="J46" s="1">
        <v>5</v>
      </c>
      <c r="K46" s="7">
        <v>45573</v>
      </c>
      <c r="L46" s="7">
        <v>45586</v>
      </c>
      <c r="M46" s="8">
        <v>45656</v>
      </c>
      <c r="N46" s="9">
        <v>83</v>
      </c>
      <c r="O46" s="9">
        <v>70</v>
      </c>
      <c r="P46" s="10">
        <v>0.3</v>
      </c>
      <c r="Q46" s="10">
        <v>0.66666666666666663</v>
      </c>
      <c r="R46" s="10">
        <v>0.42857142857142855</v>
      </c>
      <c r="S46" s="10">
        <v>0.83333333333333337</v>
      </c>
    </row>
    <row r="47" spans="1:19" x14ac:dyDescent="0.25">
      <c r="A47" s="1" t="s">
        <v>122</v>
      </c>
      <c r="B47" s="6" t="s">
        <v>123</v>
      </c>
      <c r="C47" s="1" t="s">
        <v>81</v>
      </c>
      <c r="D47" s="1" t="s">
        <v>7</v>
      </c>
      <c r="E47" s="1" t="s">
        <v>9</v>
      </c>
      <c r="F47" s="1">
        <v>80</v>
      </c>
      <c r="G47" s="1">
        <v>20</v>
      </c>
      <c r="H47" s="1">
        <v>12</v>
      </c>
      <c r="I47" s="1">
        <v>4</v>
      </c>
      <c r="J47" s="1">
        <v>3</v>
      </c>
      <c r="K47" s="7">
        <v>45492</v>
      </c>
      <c r="L47" s="7">
        <v>45497</v>
      </c>
      <c r="M47" s="8">
        <v>45569</v>
      </c>
      <c r="N47" s="9">
        <v>77</v>
      </c>
      <c r="O47" s="9">
        <v>72</v>
      </c>
      <c r="P47" s="10">
        <v>0.25</v>
      </c>
      <c r="Q47" s="10">
        <v>0.6</v>
      </c>
      <c r="R47" s="10">
        <v>0.33333333333333331</v>
      </c>
      <c r="S47" s="10">
        <v>0.75</v>
      </c>
    </row>
    <row r="48" spans="1:19" x14ac:dyDescent="0.25">
      <c r="A48" s="1" t="s">
        <v>124</v>
      </c>
      <c r="B48" s="6" t="s">
        <v>125</v>
      </c>
      <c r="C48" s="1" t="s">
        <v>81</v>
      </c>
      <c r="D48" s="1" t="s">
        <v>20</v>
      </c>
      <c r="E48" s="1" t="s">
        <v>68</v>
      </c>
      <c r="F48" s="1">
        <v>160</v>
      </c>
      <c r="G48" s="1">
        <v>38</v>
      </c>
      <c r="H48" s="1">
        <v>22</v>
      </c>
      <c r="I48" s="1">
        <v>7</v>
      </c>
      <c r="J48" s="1">
        <v>6</v>
      </c>
      <c r="K48" s="7">
        <v>45684</v>
      </c>
      <c r="L48" s="7">
        <v>45724</v>
      </c>
      <c r="M48" s="8">
        <v>45746</v>
      </c>
      <c r="N48" s="9">
        <v>62</v>
      </c>
      <c r="O48" s="9">
        <v>22</v>
      </c>
      <c r="P48" s="10">
        <v>0.23749999999999999</v>
      </c>
      <c r="Q48" s="10">
        <v>0.57894736842105265</v>
      </c>
      <c r="R48" s="10">
        <v>0.31818181818181818</v>
      </c>
      <c r="S48" s="10">
        <v>0.8571428571428571</v>
      </c>
    </row>
    <row r="49" spans="1:19" x14ac:dyDescent="0.25">
      <c r="A49" s="1" t="s">
        <v>126</v>
      </c>
      <c r="B49" s="6" t="s">
        <v>127</v>
      </c>
      <c r="C49" s="1" t="s">
        <v>81</v>
      </c>
      <c r="D49" s="1" t="s">
        <v>25</v>
      </c>
      <c r="E49" s="1" t="s">
        <v>35</v>
      </c>
      <c r="F49" s="1">
        <v>50</v>
      </c>
      <c r="G49" s="1">
        <v>15</v>
      </c>
      <c r="H49" s="1">
        <v>11</v>
      </c>
      <c r="I49" s="1">
        <v>5</v>
      </c>
      <c r="J49" s="1">
        <v>4</v>
      </c>
      <c r="K49" s="7">
        <v>45865</v>
      </c>
      <c r="L49" s="7">
        <v>45873</v>
      </c>
      <c r="M49" s="8">
        <v>45943</v>
      </c>
      <c r="N49" s="9">
        <v>78</v>
      </c>
      <c r="O49" s="9">
        <v>70</v>
      </c>
      <c r="P49" s="10">
        <v>0.3</v>
      </c>
      <c r="Q49" s="10">
        <v>0.73333333333333328</v>
      </c>
      <c r="R49" s="10">
        <v>0.45454545454545453</v>
      </c>
      <c r="S49" s="10">
        <v>0.8</v>
      </c>
    </row>
    <row r="50" spans="1:19" x14ac:dyDescent="0.25">
      <c r="A50" s="1" t="s">
        <v>128</v>
      </c>
      <c r="B50" s="6" t="s">
        <v>129</v>
      </c>
      <c r="C50" s="1" t="s">
        <v>57</v>
      </c>
      <c r="D50" s="1" t="s">
        <v>32</v>
      </c>
      <c r="E50" s="1" t="s">
        <v>9</v>
      </c>
      <c r="F50" s="1">
        <v>105</v>
      </c>
      <c r="G50" s="1">
        <v>25</v>
      </c>
      <c r="H50" s="1">
        <v>15</v>
      </c>
      <c r="I50" s="1">
        <v>4</v>
      </c>
      <c r="J50" s="1">
        <v>3</v>
      </c>
      <c r="K50" s="7">
        <v>45654</v>
      </c>
      <c r="L50" s="7">
        <v>45669</v>
      </c>
      <c r="M50" s="8">
        <v>45706</v>
      </c>
      <c r="N50" s="9">
        <v>52</v>
      </c>
      <c r="O50" s="9">
        <v>37</v>
      </c>
      <c r="P50" s="10">
        <v>0.23809523809523808</v>
      </c>
      <c r="Q50" s="10">
        <v>0.6</v>
      </c>
      <c r="R50" s="10">
        <v>0.26666666666666666</v>
      </c>
      <c r="S50" s="10">
        <v>0.75</v>
      </c>
    </row>
    <row r="51" spans="1:19" x14ac:dyDescent="0.25">
      <c r="A51" s="1" t="s">
        <v>130</v>
      </c>
      <c r="B51" s="6" t="s">
        <v>131</v>
      </c>
      <c r="C51" s="1" t="s">
        <v>5</v>
      </c>
      <c r="D51" s="1" t="s">
        <v>7</v>
      </c>
      <c r="E51" s="1" t="s">
        <v>35</v>
      </c>
      <c r="F51" s="1">
        <v>65</v>
      </c>
      <c r="G51" s="1">
        <v>18</v>
      </c>
      <c r="H51" s="1">
        <v>12</v>
      </c>
      <c r="I51" s="1">
        <v>5</v>
      </c>
      <c r="J51" s="1">
        <v>4</v>
      </c>
      <c r="K51" s="7">
        <v>45952</v>
      </c>
      <c r="L51" s="7">
        <v>45973</v>
      </c>
      <c r="M51" s="8">
        <v>46056</v>
      </c>
      <c r="N51" s="9">
        <v>104</v>
      </c>
      <c r="O51" s="9">
        <v>83</v>
      </c>
      <c r="P51" s="10">
        <v>0.27692307692307694</v>
      </c>
      <c r="Q51" s="10">
        <v>0.66666666666666663</v>
      </c>
      <c r="R51" s="10">
        <v>0.41666666666666669</v>
      </c>
      <c r="S51" s="10">
        <v>0.8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832F-5487-4798-A9A2-AECDE312F328}">
  <dimension ref="A3:E4"/>
  <sheetViews>
    <sheetView workbookViewId="0">
      <selection activeCell="A19" sqref="A19"/>
    </sheetView>
  </sheetViews>
  <sheetFormatPr defaultRowHeight="15" x14ac:dyDescent="0.25"/>
  <cols>
    <col min="1" max="1" width="28.28515625" bestFit="1" customWidth="1"/>
    <col min="2" max="2" width="17.5703125" bestFit="1" customWidth="1"/>
    <col min="3" max="3" width="18.7109375" bestFit="1" customWidth="1"/>
    <col min="4" max="4" width="14.7109375" bestFit="1" customWidth="1"/>
    <col min="5" max="5" width="13.5703125" bestFit="1" customWidth="1"/>
  </cols>
  <sheetData>
    <row r="3" spans="1:5" x14ac:dyDescent="0.25">
      <c r="A3" t="s">
        <v>138</v>
      </c>
      <c r="B3" t="s">
        <v>139</v>
      </c>
      <c r="C3" t="s">
        <v>140</v>
      </c>
      <c r="D3" t="s">
        <v>141</v>
      </c>
      <c r="E3" t="s">
        <v>142</v>
      </c>
    </row>
    <row r="4" spans="1:5" x14ac:dyDescent="0.25">
      <c r="A4" s="11">
        <v>5730</v>
      </c>
      <c r="B4" s="11">
        <v>1412</v>
      </c>
      <c r="C4" s="11">
        <v>859</v>
      </c>
      <c r="D4" s="11">
        <v>277</v>
      </c>
      <c r="E4" s="11">
        <v>221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E102-54E8-4285-ABA7-6CFC65A38B93}">
  <dimension ref="A3:B54"/>
  <sheetViews>
    <sheetView workbookViewId="0">
      <selection activeCell="E19" sqref="E19"/>
    </sheetView>
  </sheetViews>
  <sheetFormatPr defaultRowHeight="15" x14ac:dyDescent="0.25"/>
  <cols>
    <col min="1" max="1" width="26.5703125" bestFit="1" customWidth="1"/>
    <col min="2" max="2" width="28.7109375" bestFit="1" customWidth="1"/>
  </cols>
  <sheetData>
    <row r="3" spans="1:2" x14ac:dyDescent="0.25">
      <c r="A3" s="12" t="s">
        <v>143</v>
      </c>
      <c r="B3" t="s">
        <v>145</v>
      </c>
    </row>
    <row r="4" spans="1:2" x14ac:dyDescent="0.25">
      <c r="A4" s="13" t="s">
        <v>117</v>
      </c>
      <c r="B4" s="11">
        <v>107</v>
      </c>
    </row>
    <row r="5" spans="1:2" x14ac:dyDescent="0.25">
      <c r="A5" s="13" t="s">
        <v>107</v>
      </c>
      <c r="B5" s="11">
        <v>5</v>
      </c>
    </row>
    <row r="6" spans="1:2" x14ac:dyDescent="0.25">
      <c r="A6" s="13" t="s">
        <v>76</v>
      </c>
      <c r="B6" s="11">
        <v>66</v>
      </c>
    </row>
    <row r="7" spans="1:2" x14ac:dyDescent="0.25">
      <c r="A7" s="13" t="s">
        <v>70</v>
      </c>
      <c r="B7" s="11">
        <v>27</v>
      </c>
    </row>
    <row r="8" spans="1:2" x14ac:dyDescent="0.25">
      <c r="A8" s="13" t="s">
        <v>61</v>
      </c>
      <c r="B8" s="11">
        <v>110</v>
      </c>
    </row>
    <row r="9" spans="1:2" x14ac:dyDescent="0.25">
      <c r="A9" s="13" t="s">
        <v>131</v>
      </c>
      <c r="B9" s="11">
        <v>104</v>
      </c>
    </row>
    <row r="10" spans="1:2" x14ac:dyDescent="0.25">
      <c r="A10" s="13" t="s">
        <v>47</v>
      </c>
      <c r="B10" s="11">
        <v>51</v>
      </c>
    </row>
    <row r="11" spans="1:2" x14ac:dyDescent="0.25">
      <c r="A11" s="13" t="s">
        <v>34</v>
      </c>
      <c r="B11" s="11">
        <v>55</v>
      </c>
    </row>
    <row r="12" spans="1:2" x14ac:dyDescent="0.25">
      <c r="A12" s="13" t="s">
        <v>91</v>
      </c>
      <c r="B12" s="11">
        <v>33</v>
      </c>
    </row>
    <row r="13" spans="1:2" x14ac:dyDescent="0.25">
      <c r="A13" s="13" t="s">
        <v>30</v>
      </c>
      <c r="B13" s="11">
        <v>108</v>
      </c>
    </row>
    <row r="14" spans="1:2" x14ac:dyDescent="0.25">
      <c r="A14" s="13" t="s">
        <v>54</v>
      </c>
      <c r="B14" s="11">
        <v>117</v>
      </c>
    </row>
    <row r="15" spans="1:2" x14ac:dyDescent="0.25">
      <c r="A15" s="13" t="s">
        <v>64</v>
      </c>
      <c r="B15" s="11">
        <v>71</v>
      </c>
    </row>
    <row r="16" spans="1:2" x14ac:dyDescent="0.25">
      <c r="A16" s="13" t="s">
        <v>111</v>
      </c>
      <c r="B16" s="11">
        <v>58</v>
      </c>
    </row>
    <row r="17" spans="1:2" x14ac:dyDescent="0.25">
      <c r="A17" s="13" t="s">
        <v>78</v>
      </c>
      <c r="B17" s="11">
        <v>73</v>
      </c>
    </row>
    <row r="18" spans="1:2" x14ac:dyDescent="0.25">
      <c r="A18" s="13" t="s">
        <v>59</v>
      </c>
      <c r="B18" s="11">
        <v>97</v>
      </c>
    </row>
    <row r="19" spans="1:2" x14ac:dyDescent="0.25">
      <c r="A19" s="13" t="s">
        <v>56</v>
      </c>
      <c r="B19" s="11">
        <v>89</v>
      </c>
    </row>
    <row r="20" spans="1:2" x14ac:dyDescent="0.25">
      <c r="A20" s="13" t="s">
        <v>113</v>
      </c>
      <c r="B20" s="11">
        <v>21</v>
      </c>
    </row>
    <row r="21" spans="1:2" x14ac:dyDescent="0.25">
      <c r="A21" s="13" t="s">
        <v>125</v>
      </c>
      <c r="B21" s="11">
        <v>62</v>
      </c>
    </row>
    <row r="22" spans="1:2" x14ac:dyDescent="0.25">
      <c r="A22" s="13" t="s">
        <v>74</v>
      </c>
      <c r="B22" s="11">
        <v>83</v>
      </c>
    </row>
    <row r="23" spans="1:2" x14ac:dyDescent="0.25">
      <c r="A23" s="13" t="s">
        <v>37</v>
      </c>
      <c r="B23" s="11">
        <v>98</v>
      </c>
    </row>
    <row r="24" spans="1:2" x14ac:dyDescent="0.25">
      <c r="A24" s="13" t="s">
        <v>115</v>
      </c>
      <c r="B24" s="11">
        <v>75</v>
      </c>
    </row>
    <row r="25" spans="1:2" x14ac:dyDescent="0.25">
      <c r="A25" s="13" t="s">
        <v>93</v>
      </c>
      <c r="B25" s="11">
        <v>61</v>
      </c>
    </row>
    <row r="26" spans="1:2" x14ac:dyDescent="0.25">
      <c r="A26" s="13" t="s">
        <v>85</v>
      </c>
      <c r="B26" s="11">
        <v>91</v>
      </c>
    </row>
    <row r="27" spans="1:2" x14ac:dyDescent="0.25">
      <c r="A27" s="13" t="s">
        <v>109</v>
      </c>
      <c r="B27" s="11">
        <v>17</v>
      </c>
    </row>
    <row r="28" spans="1:2" x14ac:dyDescent="0.25">
      <c r="A28" s="13" t="s">
        <v>89</v>
      </c>
      <c r="B28" s="11">
        <v>107</v>
      </c>
    </row>
    <row r="29" spans="1:2" x14ac:dyDescent="0.25">
      <c r="A29" s="13" t="s">
        <v>27</v>
      </c>
      <c r="B29" s="11">
        <v>9</v>
      </c>
    </row>
    <row r="30" spans="1:2" x14ac:dyDescent="0.25">
      <c r="A30" s="13" t="s">
        <v>23</v>
      </c>
      <c r="B30" s="11">
        <v>56</v>
      </c>
    </row>
    <row r="31" spans="1:2" x14ac:dyDescent="0.25">
      <c r="A31" s="13" t="s">
        <v>87</v>
      </c>
      <c r="B31" s="11">
        <v>75</v>
      </c>
    </row>
    <row r="32" spans="1:2" x14ac:dyDescent="0.25">
      <c r="A32" s="13" t="s">
        <v>95</v>
      </c>
      <c r="B32" s="11">
        <v>72</v>
      </c>
    </row>
    <row r="33" spans="1:2" x14ac:dyDescent="0.25">
      <c r="A33" s="13" t="s">
        <v>52</v>
      </c>
      <c r="B33" s="11">
        <v>93</v>
      </c>
    </row>
    <row r="34" spans="1:2" x14ac:dyDescent="0.25">
      <c r="A34" s="13" t="s">
        <v>99</v>
      </c>
      <c r="B34" s="11">
        <v>34</v>
      </c>
    </row>
    <row r="35" spans="1:2" x14ac:dyDescent="0.25">
      <c r="A35" s="13" t="s">
        <v>42</v>
      </c>
      <c r="B35" s="11">
        <v>4</v>
      </c>
    </row>
    <row r="36" spans="1:2" x14ac:dyDescent="0.25">
      <c r="A36" s="13" t="s">
        <v>127</v>
      </c>
      <c r="B36" s="11">
        <v>78</v>
      </c>
    </row>
    <row r="37" spans="1:2" x14ac:dyDescent="0.25">
      <c r="A37" s="13" t="s">
        <v>40</v>
      </c>
      <c r="B37" s="11">
        <v>17</v>
      </c>
    </row>
    <row r="38" spans="1:2" x14ac:dyDescent="0.25">
      <c r="A38" s="13" t="s">
        <v>103</v>
      </c>
      <c r="B38" s="11">
        <v>79</v>
      </c>
    </row>
    <row r="39" spans="1:2" x14ac:dyDescent="0.25">
      <c r="A39" s="13" t="s">
        <v>83</v>
      </c>
      <c r="B39" s="11">
        <v>89</v>
      </c>
    </row>
    <row r="40" spans="1:2" x14ac:dyDescent="0.25">
      <c r="A40" s="13" t="s">
        <v>72</v>
      </c>
      <c r="B40" s="11">
        <v>25</v>
      </c>
    </row>
    <row r="41" spans="1:2" x14ac:dyDescent="0.25">
      <c r="A41" s="13" t="s">
        <v>3</v>
      </c>
      <c r="B41" s="11">
        <v>28</v>
      </c>
    </row>
    <row r="42" spans="1:2" x14ac:dyDescent="0.25">
      <c r="A42" s="13" t="s">
        <v>66</v>
      </c>
      <c r="B42" s="11">
        <v>48</v>
      </c>
    </row>
    <row r="43" spans="1:2" x14ac:dyDescent="0.25">
      <c r="A43" s="13" t="s">
        <v>119</v>
      </c>
      <c r="B43" s="11">
        <v>122</v>
      </c>
    </row>
    <row r="44" spans="1:2" x14ac:dyDescent="0.25">
      <c r="A44" s="13" t="s">
        <v>101</v>
      </c>
      <c r="B44" s="11">
        <v>60</v>
      </c>
    </row>
    <row r="45" spans="1:2" x14ac:dyDescent="0.25">
      <c r="A45" s="13" t="s">
        <v>97</v>
      </c>
      <c r="B45" s="11">
        <v>61</v>
      </c>
    </row>
    <row r="46" spans="1:2" x14ac:dyDescent="0.25">
      <c r="A46" s="13" t="s">
        <v>123</v>
      </c>
      <c r="B46" s="11">
        <v>77</v>
      </c>
    </row>
    <row r="47" spans="1:2" x14ac:dyDescent="0.25">
      <c r="A47" s="13" t="s">
        <v>105</v>
      </c>
      <c r="B47" s="11">
        <v>111</v>
      </c>
    </row>
    <row r="48" spans="1:2" x14ac:dyDescent="0.25">
      <c r="A48" s="13" t="s">
        <v>121</v>
      </c>
      <c r="B48" s="11">
        <v>83</v>
      </c>
    </row>
    <row r="49" spans="1:2" x14ac:dyDescent="0.25">
      <c r="A49" s="13" t="s">
        <v>129</v>
      </c>
      <c r="B49" s="11">
        <v>52</v>
      </c>
    </row>
    <row r="50" spans="1:2" x14ac:dyDescent="0.25">
      <c r="A50" s="13" t="s">
        <v>19</v>
      </c>
      <c r="B50" s="11">
        <v>38</v>
      </c>
    </row>
    <row r="51" spans="1:2" x14ac:dyDescent="0.25">
      <c r="A51" s="13" t="s">
        <v>50</v>
      </c>
      <c r="B51" s="11">
        <v>17</v>
      </c>
    </row>
    <row r="52" spans="1:2" x14ac:dyDescent="0.25">
      <c r="A52" s="13" t="s">
        <v>80</v>
      </c>
      <c r="B52" s="11">
        <v>50</v>
      </c>
    </row>
    <row r="53" spans="1:2" x14ac:dyDescent="0.25">
      <c r="A53" s="13" t="s">
        <v>45</v>
      </c>
      <c r="B53" s="11">
        <v>122</v>
      </c>
    </row>
    <row r="54" spans="1:2" x14ac:dyDescent="0.25">
      <c r="A54" s="13" t="s">
        <v>144</v>
      </c>
      <c r="B54" s="11">
        <v>65.72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252C-A4A5-4B40-B050-9A52B1B75A29}">
  <dimension ref="A3:D9"/>
  <sheetViews>
    <sheetView workbookViewId="0">
      <selection activeCell="I16" sqref="I16"/>
    </sheetView>
  </sheetViews>
  <sheetFormatPr defaultRowHeight="15" x14ac:dyDescent="0.25"/>
  <cols>
    <col min="1" max="1" width="13.140625" bestFit="1" customWidth="1"/>
    <col min="2" max="2" width="28.28515625" bestFit="1" customWidth="1"/>
    <col min="3" max="3" width="13.5703125" bestFit="1" customWidth="1"/>
    <col min="4" max="4" width="26.28515625" bestFit="1" customWidth="1"/>
  </cols>
  <sheetData>
    <row r="3" spans="1:4" x14ac:dyDescent="0.25">
      <c r="A3" s="12" t="s">
        <v>143</v>
      </c>
      <c r="B3" t="s">
        <v>138</v>
      </c>
      <c r="C3" t="s">
        <v>142</v>
      </c>
      <c r="D3" t="s">
        <v>146</v>
      </c>
    </row>
    <row r="4" spans="1:4" x14ac:dyDescent="0.25">
      <c r="A4" s="13" t="s">
        <v>28</v>
      </c>
      <c r="B4" s="11">
        <v>630</v>
      </c>
      <c r="C4" s="11">
        <v>27</v>
      </c>
      <c r="D4" s="14">
        <v>0.87407407407407411</v>
      </c>
    </row>
    <row r="5" spans="1:4" x14ac:dyDescent="0.25">
      <c r="A5" s="13" t="s">
        <v>9</v>
      </c>
      <c r="B5" s="11">
        <v>2305</v>
      </c>
      <c r="C5" s="11">
        <v>70</v>
      </c>
      <c r="D5" s="14">
        <v>0.76666666666666683</v>
      </c>
    </row>
    <row r="6" spans="1:4" x14ac:dyDescent="0.25">
      <c r="A6" s="13" t="s">
        <v>21</v>
      </c>
      <c r="B6" s="11">
        <v>1070</v>
      </c>
      <c r="C6" s="11">
        <v>35</v>
      </c>
      <c r="D6" s="14">
        <v>0.77962962962962956</v>
      </c>
    </row>
    <row r="7" spans="1:4" x14ac:dyDescent="0.25">
      <c r="A7" s="13" t="s">
        <v>35</v>
      </c>
      <c r="B7" s="11">
        <v>795</v>
      </c>
      <c r="C7" s="11">
        <v>57</v>
      </c>
      <c r="D7" s="14">
        <v>0.81153846153846154</v>
      </c>
    </row>
    <row r="8" spans="1:4" x14ac:dyDescent="0.25">
      <c r="A8" s="13" t="s">
        <v>68</v>
      </c>
      <c r="B8" s="11">
        <v>930</v>
      </c>
      <c r="C8" s="11">
        <v>32</v>
      </c>
      <c r="D8" s="14">
        <v>0.80365079365079362</v>
      </c>
    </row>
    <row r="9" spans="1:4" x14ac:dyDescent="0.25">
      <c r="A9" s="13" t="s">
        <v>144</v>
      </c>
      <c r="B9" s="11">
        <v>5730</v>
      </c>
      <c r="C9" s="11">
        <v>221</v>
      </c>
      <c r="D9" s="14">
        <v>0.79080952380952385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68D6-AFA2-4848-9FDE-915EC3892B13}">
  <dimension ref="A3:D8"/>
  <sheetViews>
    <sheetView topLeftCell="A3" workbookViewId="0">
      <selection activeCell="E15" sqref="E15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3" width="28.7109375" bestFit="1" customWidth="1"/>
    <col min="4" max="4" width="13.5703125" bestFit="1" customWidth="1"/>
  </cols>
  <sheetData>
    <row r="3" spans="1:4" x14ac:dyDescent="0.25">
      <c r="A3" s="12" t="s">
        <v>143</v>
      </c>
      <c r="B3" t="s">
        <v>147</v>
      </c>
      <c r="C3" t="s">
        <v>145</v>
      </c>
      <c r="D3" t="s">
        <v>142</v>
      </c>
    </row>
    <row r="4" spans="1:4" x14ac:dyDescent="0.25">
      <c r="A4" s="13" t="s">
        <v>7</v>
      </c>
      <c r="B4" s="11">
        <v>14</v>
      </c>
      <c r="C4" s="11">
        <v>47.857142857142854</v>
      </c>
      <c r="D4" s="11">
        <v>68</v>
      </c>
    </row>
    <row r="5" spans="1:4" x14ac:dyDescent="0.25">
      <c r="A5" s="13" t="s">
        <v>20</v>
      </c>
      <c r="B5" s="11">
        <v>12</v>
      </c>
      <c r="C5" s="11">
        <v>73.666666666666671</v>
      </c>
      <c r="D5" s="11">
        <v>56</v>
      </c>
    </row>
    <row r="6" spans="1:4" x14ac:dyDescent="0.25">
      <c r="A6" s="13" t="s">
        <v>25</v>
      </c>
      <c r="B6" s="11">
        <v>12</v>
      </c>
      <c r="C6" s="11">
        <v>75.583333333333329</v>
      </c>
      <c r="D6" s="11">
        <v>51</v>
      </c>
    </row>
    <row r="7" spans="1:4" x14ac:dyDescent="0.25">
      <c r="A7" s="13" t="s">
        <v>32</v>
      </c>
      <c r="B7" s="11">
        <v>12</v>
      </c>
      <c r="C7" s="11">
        <v>68.75</v>
      </c>
      <c r="D7" s="11">
        <v>46</v>
      </c>
    </row>
    <row r="8" spans="1:4" x14ac:dyDescent="0.25">
      <c r="A8" s="13" t="s">
        <v>144</v>
      </c>
      <c r="B8" s="11">
        <v>50</v>
      </c>
      <c r="C8" s="11">
        <v>65.72</v>
      </c>
      <c r="D8" s="11">
        <v>221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samskruthi d</dc:creator>
  <cp:lastModifiedBy>samskruthi d</cp:lastModifiedBy>
  <dcterms:created xsi:type="dcterms:W3CDTF">2025-12-26T15:32:45Z</dcterms:created>
  <dcterms:modified xsi:type="dcterms:W3CDTF">2025-12-27T06:03:46Z</dcterms:modified>
</cp:coreProperties>
</file>